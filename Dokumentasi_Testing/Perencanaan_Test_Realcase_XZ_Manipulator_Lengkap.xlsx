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4e32f0830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e98a544b4c62454a"/>
    <x:sheet xmlns:r="http://schemas.openxmlformats.org/officeDocument/2006/relationships" name="Rencana_Uji" sheetId="2" r:id="R8dbe668a38b547bf"/>
    <x:sheet xmlns:r="http://schemas.openxmlformats.org/officeDocument/2006/relationships" name="Log_Hasil" sheetId="3" r:id="Ra022dbd803f44b14"/>
    <x:sheet xmlns:r="http://schemas.openxmlformats.org/officeDocument/2006/relationships" name="Definisi" sheetId="4" r:id="R8da8c92a4b934de1"/>
    <x:sheet xmlns:r="http://schemas.openxmlformats.org/officeDocument/2006/relationships" name="Uji_Proposal_TA" sheetId="5" r:id="Rbeb9fd9c929d4a91"/>
    <x:sheet xmlns:r="http://schemas.openxmlformats.org/officeDocument/2006/relationships" name="Kode_Dan_Arti" sheetId="6" r:id="R2a0228ab86e24dc6"/>
    <x:sheet xmlns:r="http://schemas.openxmlformats.org/officeDocument/2006/relationships" name="Failure_Log" sheetId="7" r:id="R2e7ba7bc9ec34aed"/>
    <x:sheet xmlns:r="http://schemas.openxmlformats.org/officeDocument/2006/relationships" name="Traceability" sheetId="8" r:id="Rcb98bd3c5314415f"/>
    <x:sheet xmlns:r="http://schemas.openxmlformats.org/officeDocument/2006/relationships" name="Dashboard" sheetId="9" r:id="Re760f2ad40f64759"/>
  </x:sheets>
</x:workbook>
</file>

<file path=xl/sharedStrings.xml><?xml version="1.0" encoding="utf-8"?>
<x:sst xmlns:x="http://schemas.openxmlformats.org/spreadsheetml/2006/main">
  <x:si>
    <x:t xml:space="preserve">Perencanaan Pengujian Real-Case Sistem Deteksi Kapasitor pada Konveyor</x:t>
  </x:si>
  <x:si>
    <x:t xml:space="preserve">Tujuan</x:t>
  </x:si>
  <x:si>
    <x:t xml:space="preserve">Memastikan kamera, model YOLO, konveyor, dan manipulator bekerja stabil pada kondisi nyata.</x:t>
  </x:si>
  <x:si>
    <x:t xml:space="preserve">Indikator ringkas</x:t>
  </x:si>
  <x:si>
    <x:t xml:space="preserve">Isi saat pengujian</x:t>
  </x:si>
  <x:si>
    <x:t xml:space="preserve">Objek uji</x:t>
  </x:si>
  <x:si>
    <x:t xml:space="preserve">Tanggal uji</x:t>
  </x:si>
  <x:si>
    <x:t xml:space="preserve">Lokasi</x:t>
  </x:si>
  <x:si>
    <x:t xml:space="preserve">Area konveyor real-case sesuai konfigurasi penelitian.</x:t>
  </x:si>
  <x:si>
    <x:t xml:space="preserve">Operator</x:t>
  </x:si>
  <x:si>
    <x:t xml:space="preserve">Sumber sistem</x:t>
  </x:si>
  <x:si>
    <x:t xml:space="preserve">Repository kontrol manipulator: https://github.com/MorisSintong/XZ-Manipulator-Controls</x:t>
  </x:si>
  <x:si>
    <x:t xml:space="preserve">Versi model</x:t>
  </x:si>
  <x:si>
    <x:t xml:space="preserve">Target bukti</x:t>
  </x:si>
  <x:si>
    <x:t xml:space="preserve">Video/screenshot, log prediksi, log waktu, dan catatan kegagalan.</x:t>
  </x:si>
  <x:si>
    <x:t xml:space="preserve">Jumlah siklus</x:t>
  </x:si>
  <x:si>
    <x:t xml:space="preserve">Aturan keselamatan</x:t>
  </x:si>
  <x:si>
    <x:t xml:space="preserve">Emergency stop siap; tangan tidak berada di area gerak saat siklus otomatis berjalan.</x:t>
  </x:si>
  <x:si>
    <x:t xml:space="preserve">Status akhir</x:t>
  </x:si>
  <x:si>
    <x:t xml:space="preserve">BELUM DIISI</x:t>
  </x:si>
  <x:si>
    <x:t xml:space="preserve">ID</x:t>
  </x:si>
  <x:si>
    <x:t xml:space="preserve">Fase</x:t>
  </x:si>
  <x:si>
    <x:t xml:space="preserve">Skenario / tindakan</x:t>
  </x:si>
  <x:si>
    <x:t xml:space="preserve">Kondisi input</x:t>
  </x:si>
  <x:si>
    <x:t xml:space="preserve">Parameter yang dicatat</x:t>
  </x:si>
  <x:si>
    <x:t xml:space="preserve">Hasil yang diharapkan</x:t>
  </x:si>
  <x:si>
    <x:t xml:space="preserve">Kriteria PASS</x:t>
  </x:si>
  <x:si>
    <x:t xml:space="preserve">Bukti</x:t>
  </x:si>
  <x:si>
    <x:t xml:space="preserve">Status</x:t>
  </x:si>
  <x:si>
    <x:t xml:space="preserve">Catatan</x:t>
  </x:si>
  <x:si>
    <x:t xml:space="preserve">RC-01</x:t>
  </x:si>
  <x:si>
    <x:t xml:space="preserve">Persiapan</x:t>
  </x:si>
  <x:si>
    <x:t xml:space="preserve">Periksa emergency stop, area gerak, kabel, dan fixture.</x:t>
  </x:si>
  <x:si>
    <x:t xml:space="preserve">Area aman dan kosong</x:t>
  </x:si>
  <x:si>
    <x:t xml:space="preserve">Checklist keselamatan</x:t>
  </x:si>
  <x:si>
    <x:t xml:space="preserve">Tidak ada hambatan; E-stop berfungsi</x:t>
  </x:si>
  <x:si>
    <x:t xml:space="preserve">Semua item aman</x:t>
  </x:si>
  <x:si>
    <x:t xml:space="preserve">Foto/checklist</x:t>
  </x:si>
  <x:si>
    <x:t xml:space="preserve">Belum</x:t>
  </x:si>
  <x:si>
    <x:t xml:space="preserve">RC-02</x:t>
  </x:si>
  <x:si>
    <x:t xml:space="preserve">Nyalakan kamera, software, manipulator, dan program kontrol.</x:t>
  </x:si>
  <x:si>
    <x:t xml:space="preserve">Sistem mati sebelum start</x:t>
  </x:si>
  <x:si>
    <x:t xml:space="preserve">Status koneksi</x:t>
  </x:si>
  <x:si>
    <x:t xml:space="preserve">Semua perangkat terhubung tanpa error</x:t>
  </x:si>
  <x:si>
    <x:t xml:space="preserve">Tidak ada error koneksi</x:t>
  </x:si>
  <x:si>
    <x:t xml:space="preserve">Screenshot</x:t>
  </x:si>
  <x:si>
    <x:t xml:space="preserve">RC-03</x:t>
  </x:si>
  <x:si>
    <x:t xml:space="preserve">Kamera</x:t>
  </x:si>
  <x:si>
    <x:t xml:space="preserve">Ambil video belt kosong sebagai baseline background.</x:t>
  </x:si>
  <x:si>
    <x:t xml:space="preserve">Belt kosong; ring light sesuai setting</x:t>
  </x:si>
  <x:si>
    <x:t xml:space="preserve">Exposure, gain, FPS, resolusi</x:t>
  </x:si>
  <x:si>
    <x:t xml:space="preserve">Citra stabil dan tidak terlalu gelap</x:t>
  </x:si>
  <x:si>
    <x:t xml:space="preserve">Belt terlihat konsisten</x:t>
  </x:si>
  <x:si>
    <x:t xml:space="preserve">Video background</x:t>
  </x:si>
  <x:si>
    <x:t xml:space="preserve">RC-04</x:t>
  </x:si>
  <x:si>
    <x:t xml:space="preserve">Deteksi statis</x:t>
  </x:si>
  <x:si>
    <x:t xml:space="preserve">Letakkan kapasitor benar pada belt, diam.</x:t>
  </x:si>
  <x:si>
    <x:t xml:space="preserve">Kapasitor elco; posisi normal</x:t>
  </x:si>
  <x:si>
    <x:t xml:space="preserve">Confidence, kelas, waktu inferensi</x:t>
  </x:si>
  <x:si>
    <x:t xml:space="preserve">Terklasifikasi sebagai kapasitor benar</x:t>
  </x:si>
  <x:si>
    <x:t xml:space="preserve">Kelas benar pada seluruh pengulangan</x:t>
  </x:si>
  <x:si>
    <x:t xml:space="preserve">Screenshot/log</x:t>
  </x:si>
  <x:si>
    <x:t xml:space="preserve">RC-05</x:t>
  </x:si>
  <x:si>
    <x:t xml:space="preserve">Uji kapasitor benar dari posisi/sudut berbeda.</x:t>
  </x:si>
  <x:si>
    <x:t xml:space="preserve">Rotasi/posisi realistis</x:t>
  </x:si>
  <x:si>
    <x:t xml:space="preserve">Sudut, jarak, confidence</x:t>
  </x:si>
  <x:si>
    <x:t xml:space="preserve">Objek tetap terdeteksi</x:t>
  </x:si>
  <x:si>
    <x:t xml:space="preserve">Tidak gagal pada variasi yang ditentukan</x:t>
  </x:si>
  <x:si>
    <x:t xml:space="preserve">Video + log</x:t>
  </x:si>
  <x:si>
    <x:t xml:space="preserve">RC-06</x:t>
  </x:si>
  <x:si>
    <x:t xml:space="preserve">RC-07</x:t>
  </x:si>
  <x:si>
    <x:t xml:space="preserve">Uji belt kosong di beberapa bagian frame.</x:t>
  </x:si>
  <x:si>
    <x:t xml:space="preserve">Tidak ada objek</x:t>
  </x:si>
  <x:si>
    <x:t xml:space="preserve">Prediksi background/false positive</x:t>
  </x:si>
  <x:si>
    <x:t xml:space="preserve">Tidak ada deteksi objek pada belt kosong</x:t>
  </x:si>
  <x:si>
    <x:t xml:space="preserve">False positive tercatat dan dianalisis</x:t>
  </x:si>
  <x:si>
    <x:t xml:space="preserve">RC-08</x:t>
  </x:si>
  <x:si>
    <x:t xml:space="preserve">Konveyor</x:t>
  </x:si>
  <x:si>
    <x:t xml:space="preserve">Jalankan belt dengan satu kapasitor benar.</x:t>
  </x:si>
  <x:si>
    <x:t xml:space="preserve">Kecepatan belt normal</x:t>
  </x:si>
  <x:si>
    <x:t xml:space="preserve">FPS, blur, confidence, posisi</x:t>
  </x:si>
  <x:si>
    <x:t xml:space="preserve">Objek terdeteksi saat bergerak</x:t>
  </x:si>
  <x:si>
    <x:t xml:space="preserve">Deteksi terjadi dalam area pengamatan</x:t>
  </x:si>
  <x:si>
    <x:t xml:space="preserve">RC-09</x:t>
  </x:si>
  <x:si>
    <x:t xml:space="preserve">RC-10</x:t>
  </x:si>
  <x:si>
    <x:t xml:space="preserve">Uji dua objek berurutan dengan jarak aman.</x:t>
  </x:si>
  <x:si>
    <x:t xml:space="preserve">Dua objek, tidak bersentuhan</x:t>
  </x:si>
  <x:si>
    <x:t xml:space="preserve">Urutan deteksi dan ID objek</x:t>
  </x:si>
  <x:si>
    <x:t xml:space="preserve">Keduanya terdeteksi tanpa tertukar</x:t>
  </x:si>
  <x:si>
    <x:t xml:space="preserve">Urutan sesuai lintasan</x:t>
  </x:si>
  <x:si>
    <x:t xml:space="preserve">RC-11</x:t>
  </x:si>
  <x:si>
    <x:t xml:space="preserve">Uji beberapa objek dengan variasi jarak.</x:t>
  </x:si>
  <x:si>
    <x:t xml:space="preserve">Jarak dekat/sedang/jauh</x:t>
  </x:si>
  <x:si>
    <x:t xml:space="preserve">Confidence dan miss rate</x:t>
  </x:si>
  <x:si>
    <x:t xml:space="preserve">Sistem tetap merespons</x:t>
  </x:si>
  <x:si>
    <x:t xml:space="preserve">Miss rate berada di batas yang ditetapkan</x:t>
  </x:si>
  <x:si>
    <x:t xml:space="preserve">RC-12</x:t>
  </x:si>
  <x:si>
    <x:t xml:space="preserve">Manipulator</x:t>
  </x:si>
  <x:si>
    <x:t xml:space="preserve">Uji aksi ambil/pindah untuk kapasitor benar.</x:t>
  </x:si>
  <x:si>
    <x:t xml:space="preserve">Objek berada pada area pick</x:t>
  </x:si>
  <x:si>
    <x:t xml:space="preserve">Koordinat pick, waktu siklus, hasil aksi</x:t>
  </x:si>
  <x:si>
    <x:t xml:space="preserve">Manipulator mengambil dan menaruh di area benar</x:t>
  </x:si>
  <x:si>
    <x:t xml:space="preserve">Tidak menjatuhkan/menabrak</x:t>
  </x:si>
  <x:si>
    <x:t xml:space="preserve">Video + log kontrol</x:t>
  </x:si>
  <x:si>
    <x:t xml:space="preserve">RC-13</x:t>
  </x:si>
  <x:si>
    <x:t xml:space="preserve">RC-14</x:t>
  </x:si>
  <x:si>
    <x:t xml:space="preserve">Uji belt kosong saat sistem otomatis aktif.</x:t>
  </x:si>
  <x:si>
    <x:t xml:space="preserve">Gerakan tidak perlu, alarm</x:t>
  </x:si>
  <x:si>
    <x:t xml:space="preserve">Manipulator tidak bergerak tanpa target</x:t>
  </x:si>
  <x:si>
    <x:t xml:space="preserve">Tidak ada gerakan palsu</x:t>
  </x:si>
  <x:si>
    <x:t xml:space="preserve">RC-15</x:t>
  </x:si>
  <x:si>
    <x:t xml:space="preserve">Robustness</x:t>
  </x:si>
  <x:si>
    <x:t xml:space="preserve">Uji perubahan kecil pencahayaan/bayangan alami.</x:t>
  </x:si>
  <x:si>
    <x:t xml:space="preserve">Cahaya berubah dalam kondisi wajar</x:t>
  </x:si>
  <x:si>
    <x:t xml:space="preserve">Confidence dan kelas</x:t>
  </x:si>
  <x:si>
    <x:t xml:space="preserve">Prediksi masih stabil atau perubahan tercatat</x:t>
  </x:si>
  <x:si>
    <x:t xml:space="preserve">Tidak ada kegagalan tak terjelaskan</x:t>
  </x:si>
  <x:si>
    <x:t xml:space="preserve">RC-16</x:t>
  </x:si>
  <x:si>
    <x:t xml:space="preserve">Uji objek sedikit miring/bergeser dari jalur ideal.</x:t>
  </x:si>
  <x:si>
    <x:t xml:space="preserve">Offset posisi kecil</x:t>
  </x:si>
  <x:si>
    <x:t xml:space="preserve">Posisi, confidence, aksi</x:t>
  </x:si>
  <x:si>
    <x:t xml:space="preserve">Sistem menangani atau memberi status gagal dengan aman</x:t>
  </x:si>
  <x:si>
    <x:t xml:space="preserve">Tidak ada aksi berbahaya</x:t>
  </x:si>
  <x:si>
    <x:t xml:space="preserve">RC-17</x:t>
  </x:si>
  <x:si>
    <x:t xml:space="preserve">Kegagalan</x:t>
  </x:si>
  <x:si>
    <x:t xml:space="preserve">Simulasikan objek tidak terdeteksi atau confidence rendah.</x:t>
  </x:si>
  <x:si>
    <x:t xml:space="preserve">Target sebagian tertutup/blur</x:t>
  </x:si>
  <x:si>
    <x:t xml:space="preserve">Confidence, response system</x:t>
  </x:si>
  <x:si>
    <x:t xml:space="preserve">Sistem tidak melakukan aksi salah</x:t>
  </x:si>
  <x:si>
    <x:t xml:space="preserve">Fallback/skip aman</x:t>
  </x:si>
  <x:si>
    <x:t xml:space="preserve">RC-18</x:t>
  </x:si>
  <x:si>
    <x:t xml:space="preserve">Tekan emergency stop pada kondisi terkontrol.</x:t>
  </x:si>
  <x:si>
    <x:t xml:space="preserve">Sistem bergerak tanpa objek berbahaya</x:t>
  </x:si>
  <x:si>
    <x:t xml:space="preserve">Waktu berhenti dan kondisi akhir</x:t>
  </x:si>
  <x:si>
    <x:t xml:space="preserve">Gerak berhenti segera dan aman</x:t>
  </x:si>
  <x:si>
    <x:t xml:space="preserve">E-stop menghentikan sistem</x:t>
  </x:si>
  <x:si>
    <x:t xml:space="preserve">Video/checklist</x:t>
  </x:si>
  <x:si>
    <x:t xml:space="preserve">RC-19</x:t>
  </x:si>
  <x:si>
    <x:t xml:space="preserve">Rekap</x:t>
  </x:si>
  <x:si>
    <x:t xml:space="preserve">Simpan semua video, log, screenshot, dan versi model.</x:t>
  </x:si>
  <x:si>
    <x:t xml:space="preserve">Selesai semua skenario</x:t>
  </x:si>
  <x:si>
    <x:t xml:space="preserve">Nama file, folder, jumlah bukti</x:t>
  </x:si>
  <x:si>
    <x:t xml:space="preserve">Data dapat ditelusuri ke ID skenario</x:t>
  </x:si>
  <x:si>
    <x:t xml:space="preserve">Tidak ada bukti hilang</x:t>
  </x:si>
  <x:si>
    <x:t xml:space="preserve">Folder + manifest</x:t>
  </x:si>
  <x:si>
    <x:t xml:space="preserve">RC-20</x:t>
  </x:si>
  <x:si>
    <x:t xml:space="preserve">Catat keputusan akhir dan tindak lanjut.</x:t>
  </x:si>
  <x:si>
    <x:t xml:space="preserve">Semua hasil sudah direview</x:t>
  </x:si>
  <x:si>
    <x:t xml:space="preserve">Jumlah PASS/FAIL, isu</x:t>
  </x:si>
  <x:si>
    <x:t xml:space="preserve">Keputusan siap dilaporkan</x:t>
  </x:si>
  <x:si>
    <x:t xml:space="preserve">Ada daftar perbaikan berikutnya</x:t>
  </x:si>
  <x:si>
    <x:t xml:space="preserve">Excel ini</x:t>
  </x:si>
  <x:si>
    <x:t xml:space="preserve">RC-21</x:t>
  </x:si>
  <x:si>
    <x:t xml:space="preserve">Uji estimasi sudut kontinu pada sudut non-ortogonal.</x:t>
  </x:si>
  <x:si>
    <x:t xml:space="preserve">Objek sintetis/real pada 15°, 30°, 45°, 60°, 135° dan rentang 0–360°.</x:t>
  </x:si>
  <x:si>
    <x:t xml:space="preserve">Minimal 5 sudut</x:t>
  </x:si>
  <x:si>
    <x:t xml:space="preserve">Sudut prediksi dan error absolut</x:t>
  </x:si>
  <x:si>
    <x:t xml:space="preserve">Sudut kontinu; error ≤ ±2,5°; tidak dibulatkan ke 0/90/180/270 saja.</x:t>
  </x:si>
  <x:si>
    <x:t xml:space="preserve">Dataset uji + report</x:t>
  </x:si>
  <x:si>
    <x:t xml:space="preserve">RC-22</x:t>
  </x:si>
  <x:si>
    <x:t xml:space="preserve">Uji paket UART deteksi menuju controller.</x:t>
  </x:si>
  <x:si>
    <x:t xml:space="preserve">Paket berisi X, Y, kelas, sudut, object ID, sequence, header/tail.</x:t>
  </x:si>
  <x:si>
    <x:t xml:space="preserve">Minimal 10 paket</x:t>
  </x:si>
  <x:si>
    <x:t xml:space="preserve">Isi field, CRC16, paket rusak ditolak</x:t>
  </x:si>
  <x:si>
    <x:t xml:space="preserve">Koordinat fisik tersedia; CRC valid; byte korupsi ditolak.</x:t>
  </x:si>
  <x:si>
    <x:t xml:space="preserve">Log packet + test result</x:t>
  </x:si>
  <x:si>
    <x:t xml:space="preserve">RC-23</x:t>
  </x:si>
  <x:si>
    <x:t xml:space="preserve">Uji debounce/tracking satu objek bergerak.</x:t>
  </x:si>
  <x:si>
    <x:t xml:space="preserve">Satu kapasitor melewati FOV selama banyak frame.</x:t>
  </x:si>
  <x:si>
    <x:t xml:space="preserve">60 frame simulasi/real</x:t>
  </x:si>
  <x:si>
    <x:t xml:space="preserve">Jumlah command pick yang dibuat</x:t>
  </x:si>
  <x:si>
    <x:t xml:space="preserve">Satu objek hanya menghasilkan satu command/queue event.</x:t>
  </x:si>
  <x:si>
    <x:t xml:space="preserve">Log tracker + UART</x:t>
  </x:si>
  <x:si>
    <x:t xml:space="preserve">RC-24</x:t>
  </x:si>
  <x:si>
    <x:t xml:space="preserve">Verifikasi firmware aman terhadap flash wear dan blocking delay.</x:t>
  </x:si>
  <x:si>
    <x:t xml:space="preserve">Packet masuk berulang pada loop runtime.</x:t>
  </x:si>
  <x:si>
    <x:t xml:space="preserve">Static check + runtime test</x:t>
  </x:si>
  <x:si>
    <x:t xml:space="preserve">NVS write count; blocking delay check</x:t>
  </x:si>
  <x:si>
    <x:t xml:space="preserve">No NVS write in packet loop; no blocking delay</x:t>
  </x:si>
  <x:si>
    <x:t xml:space="preserve">Test report firmware</x:t>
  </x:si>
  <x:si>
    <x:t xml:space="preserve">RC-25</x:t>
  </x:si>
  <x:si>
    <x:t xml:space="preserve">Jalankan automated verification suite sebelum uji hardware penuh.</x:t>
  </x:si>
  <x:si>
    <x:t xml:space="preserve">Test angle, protocol CRC, tracker debounce, launcher portability.</x:t>
  </x:si>
  <x:si>
    <x:t xml:space="preserve">1 kali per versi</x:t>
  </x:si>
  <x:si>
    <x:t xml:space="preserve">Jumlah test pass/fail</x:t>
  </x:si>
  <x:si>
    <x:t xml:space="preserve">Semua test pass sebelum build dianggap siap real-case.</x:t>
  </x:si>
  <x:si>
    <x:t xml:space="preserve">Output test suite</x:t>
  </x:si>
  <x:si>
    <x:t xml:space="preserve">Perencanaan Pengujian Real-Case Mengikuti Proposal Tugas Akhir</x:t>
  </x:si>
  <x:si>
    <x:t xml:space="preserve">Acuan proposal</x:t>
  </x:si>
  <x:si>
    <x:t xml:space="preserve">Proposal Integrasi Computer Vision dan Sistem Sortasi Konveyor untuk Pengendalian Kualitas Komponen Kapasitor Berdasarkan Polaritas</x:t>
  </x:si>
  <x:si>
    <x:t xml:space="preserve">Peran pengujian</x:t>
  </x:si>
  <x:si>
    <x:t xml:space="preserve">Akuisisi dataset, validasi data, dan pengujian sistem.</x:t>
  </x:si>
  <x:si>
    <x:t xml:space="preserve">Kelas utama</x:t>
  </x:si>
  <x:si>
    <x:t xml:space="preserve">Kapasitor polar orientasi benar; kapasitor polar orientasi salah; background/bukan kapasitor.</x:t>
  </x:si>
  <x:si>
    <x:t xml:space="preserve">Variasi wajib</x:t>
  </x:si>
  <x:si>
    <x:t xml:space="preserve">Sudut 0°, 30°, 60°, 90°, 120°, 150°, 180°; posisi kiri/tengah/kanan; normal/redup/terang; diam/bergerak.</x:t>
  </x:si>
  <x:si>
    <x:t xml:space="preserve">Rasio dataset</x:t>
  </x:si>
  <x:si>
    <x:t xml:space="preserve">Training 80%, validation 10%, testing 10%; sesi video tidak boleh tercampur antar kelompok.</x:t>
  </x:si>
  <x:si>
    <x:t xml:space="preserve">Pengulangan sistem</x:t>
  </x:si>
  <x:si>
    <x:t xml:space="preserve">Komunikasi, alur terintegrasi, koreksi orientasi, dan waktu siklus: 10 kali per skenario.</x:t>
  </x:si>
  <x:si>
    <x:t xml:space="preserve">Kelompok</x:t>
  </x:si>
  <x:si>
    <x:t xml:space="preserve">Skenario / pemeriksaan</x:t>
  </x:si>
  <x:si>
    <x:t xml:space="preserve">Input / kondisi</x:t>
  </x:si>
  <x:si>
    <x:t xml:space="preserve">Jumlah uji</x:t>
  </x:si>
  <x:si>
    <x:t xml:space="preserve">Parameter / metrik</x:t>
  </x:si>
  <x:si>
    <x:t xml:space="preserve">Target / kriteria PASS</x:t>
  </x:si>
  <x:si>
    <x:t xml:space="preserve">Bukti yang disimpan</x:t>
  </x:si>
  <x:si>
    <x:t xml:space="preserve">AQ-01</x:t>
  </x:si>
  <x:si>
    <x:t xml:space="preserve">Akuisisi dataset</x:t>
  </x:si>
  <x:si>
    <x:t xml:space="preserve">Periksa kelayakan seluruh citra hasil ekstraksi.</x:t>
  </x:si>
  <x:si>
    <x:t xml:space="preserve">Objek jelas, tidak terpotong, di ROI, cahaya diterima, blur tidak berat.</x:t>
  </x:si>
  <x:si>
    <x:t xml:space="preserve">Seluruh citra</x:t>
  </x:si>
  <x:si>
    <x:t xml:space="preserve">Jumlah layak, tidak layak, persentase kelayakan</x:t>
  </x:si>
  <x:si>
    <x:t xml:space="preserve">Citra layak memenuhi seluruh kriteria; alasan penolakan tercatat.</x:t>
  </x:si>
  <x:si>
    <x:t xml:space="preserve">Checklist + metadata</x:t>
  </x:si>
  <x:si>
    <x:t xml:space="preserve">AQ-02</x:t>
  </x:si>
  <x:si>
    <x:t xml:space="preserve">Metadata</x:t>
  </x:si>
  <x:si>
    <x:t xml:space="preserve">Periksa nama file dan metadata setiap citra.</x:t>
  </x:si>
  <x:si>
    <x:t xml:space="preserve">Kelas, ID objek, sudut, posisi, cahaya, sesi/frame, kelompok dataset, status.</x:t>
  </x:si>
  <x:si>
    <x:t xml:space="preserve">Persentase metadata lengkap</x:t>
  </x:si>
  <x:si>
    <x:t xml:space="preserve">100% informasi wajib terisi dan sesuai kondisi citra.</x:t>
  </x:si>
  <x:si>
    <x:t xml:space="preserve">Excel metadata</x:t>
  </x:si>
  <x:si>
    <x:t xml:space="preserve">AQ-03</x:t>
  </x:si>
  <x:si>
    <x:t xml:space="preserve">Dataset split</x:t>
  </x:si>
  <x:si>
    <x:t xml:space="preserve">Periksa rasio dan pencegahan data leakage.</x:t>
  </x:si>
  <x:si>
    <x:t xml:space="preserve">Train/Val/Test berdasarkan kode sesi video.</x:t>
  </x:si>
  <x:si>
    <x:t xml:space="preserve">1 pemeriksaan</x:t>
  </x:si>
  <x:si>
    <x:t xml:space="preserve">Rasio aktual; sesi tercampur</x:t>
  </x:si>
  <x:si>
    <x:t xml:space="preserve">Mendekati 80/10/10; tidak ada sesi yang masuk lebih dari satu kelompok.</x:t>
  </x:si>
  <x:si>
    <x:t xml:space="preserve">Export dataset + tabel split</x:t>
  </x:si>
  <x:si>
    <x:t xml:space="preserve">CV-01</x:t>
  </x:si>
  <x:si>
    <x:t xml:space="preserve">Model YOLO26</x:t>
  </x:si>
  <x:si>
    <x:t xml:space="preserve">Evaluasi model pada test set yang belum pernah dilatih.</x:t>
  </x:si>
  <x:si>
    <x:t xml:space="preserve">Data test terpisah dari train/val.</x:t>
  </x:si>
  <x:si>
    <x:t xml:space="preserve">Sesuai test set</x:t>
  </x:si>
  <x:si>
    <x:t xml:space="preserve">Confusion matrix, precision, recall, F1, mAP, FPS/inference time</x:t>
  </x:si>
  <x:si>
    <x:t xml:space="preserve">Metrik tercatat dan dibandingkan dengan target proposal.</x:t>
  </x:si>
  <x:si>
    <x:t xml:space="preserve">Report model + confusion matrix</x:t>
  </x:si>
  <x:si>
    <x:t xml:space="preserve">DS-01</x:t>
  </x:si>
  <x:si>
    <x:t xml:space="preserve">Generalisasi</x:t>
  </x:si>
  <x:si>
    <x:t xml:space="preserve">Uji kombinasi kelas, sudut, posisi, cahaya, dan gerak.</x:t>
  </x:si>
  <x:si>
    <x:t xml:space="preserve">0/30/60/90/120/150/180°; kiri/tengah/kanan; normal/redup/terang; diam/bergerak.</x:t>
  </x:si>
  <x:si>
    <x:t xml:space="preserve">Minimal 1 per kombinasi</x:t>
  </x:si>
  <x:si>
    <x:t xml:space="preserve">Akurasi kelas, confidence, miss, false positive</x:t>
  </x:si>
  <x:si>
    <x:t xml:space="preserve">Tidak ada kondisi variasi yang tidak diuji tanpa alasan.</x:t>
  </x:si>
  <x:si>
    <x:t xml:space="preserve">Video/frame uji + log</x:t>
  </x:si>
  <x:si>
    <x:t xml:space="preserve">MEC-01</x:t>
  </x:si>
  <x:si>
    <x:t xml:space="preserve">Mekanik ISO 9283</x:t>
  </x:si>
  <x:si>
    <x:t xml:space="preserve">Uji akurasi dan repeatability posisi XZ.</x:t>
  </x:si>
  <x:si>
    <x:t xml:space="preserve">Target koordinat; mulai dari home dan arah berbeda.</x:t>
  </x:si>
  <x:si>
    <x:t xml:space="preserve">30 iterasi</x:t>
  </x:si>
  <x:si>
    <x:t xml:space="preserve">Error posisi aktual-target; standar deviasi</x:t>
  </x:si>
  <x:si>
    <x:t xml:space="preserve">Akurasi ≤ 0,1 mm; repeatability ≤ 0,05 mm.</x:t>
  </x:si>
  <x:si>
    <x:t xml:space="preserve">Tabel pengukuran</x:t>
  </x:si>
  <x:si>
    <x:t xml:space="preserve">SAFE-01</x:t>
  </x:si>
  <x:si>
    <x:t xml:space="preserve">Keselamatan ISO 10218</x:t>
  </x:si>
  <x:si>
    <x:t xml:space="preserve">Uji kegagalan daya pada sumbu Z.</x:t>
  </x:si>
  <x:si>
    <x:t xml:space="preserve">Beban uji; daya diputus saat carriage berada di posisi tertentu.</x:t>
  </x:si>
  <x:si>
    <x:t xml:space="preserve">1 rangkaian</x:t>
  </x:si>
  <x:si>
    <x:t xml:space="preserve">Perubahan posisi Z selama 30 detik</x:t>
  </x:si>
  <x:si>
    <x:t xml:space="preserve">Tidak free-fall; pergeseran maksimal ≤ 0,5 mm/30 detik.</x:t>
  </x:si>
  <x:si>
    <x:t xml:space="preserve">Video + pengukuran</x:t>
  </x:si>
  <x:si>
    <x:t xml:space="preserve">HOME-01</x:t>
  </x:si>
  <x:si>
    <x:t xml:space="preserve">Homing TMC2240</x:t>
  </x:si>
  <x:si>
    <x:t xml:space="preserve">Uji sensorless homing menggunakan StallGuard.</x:t>
  </x:si>
  <x:si>
    <x:t xml:space="preserve">Gerak perlahan menuju batas mekanis.</x:t>
  </x:si>
  <x:si>
    <x:t xml:space="preserve">Beberapa pengulangan</x:t>
  </x:si>
  <x:si>
    <x:t xml:space="preserve">Waktu berhenti; variasi posisi home</x:t>
  </x:si>
  <x:si>
    <x:t xml:space="preserve">Berhenti ≤ 2 detik; variasi home ≤ 0,1 mm.</x:t>
  </x:si>
  <x:si>
    <x:t xml:space="preserve">Log homing</x:t>
  </x:si>
  <x:si>
    <x:t xml:space="preserve">VIB-01</x:t>
  </x:si>
  <x:si>
    <x:t xml:space="preserve">Getaran transien</x:t>
  </x:si>
  <x:si>
    <x:t xml:space="preserve">Sweep akselerasi hingga batas step loss.</x:t>
  </x:si>
  <x:si>
    <x:t xml:space="preserve">Gerak sumbu X sepanjang area kerja.</x:t>
  </x:si>
  <x:si>
    <x:t xml:space="preserve">Bertahap</x:t>
  </x:si>
  <x:si>
    <x:t xml:space="preserve">Akselerasi kritis; step loss</x:t>
  </x:si>
  <x:si>
    <x:t xml:space="preserve">Batas kritis ≥ 500 mm/s²; parameter kerja punya margin ≥ 20%.</x:t>
  </x:si>
  <x:si>
    <x:t xml:space="preserve">Log encoder + parameter</x:t>
  </x:si>
  <x:si>
    <x:t xml:space="preserve">COM-01</x:t>
  </x:si>
  <x:si>
    <x:t xml:space="preserve">Komunikasi</x:t>
  </x:si>
  <x:si>
    <x:t xml:space="preserve">Uji PC–PLC melalui Modbus TCP/IP.</x:t>
  </x:si>
  <x:si>
    <x:t xml:space="preserve">Perintah stop dan jalan conveyor.</x:t>
  </x:si>
  <x:si>
    <x:t xml:space="preserve">10 kali per perintah</x:t>
  </x:si>
  <x:si>
    <x:t xml:space="preserve">Data dikirim vs diterima; respons</x:t>
  </x:si>
  <x:si>
    <x:t xml:space="preserve">Data dan respons sama; tidak ada kehilangan komunikasi.</x:t>
  </x:si>
  <x:si>
    <x:t xml:space="preserve">Log Modbus</x:t>
  </x:si>
  <x:si>
    <x:t xml:space="preserve">COM-02</x:t>
  </x:si>
  <x:si>
    <x:t xml:space="preserve">Uji PC–STM32 melalui UART.</x:t>
  </x:si>
  <x:si>
    <x:t xml:space="preserve">Kelas, koordinat, sudut orientasi, dan perintah.</x:t>
  </x:si>
  <x:si>
    <x:t xml:space="preserve">10 kali per data</x:t>
  </x:si>
  <x:si>
    <x:t xml:space="preserve">Data dikirim vs diterima; CRC/status</x:t>
  </x:si>
  <x:si>
    <x:t xml:space="preserve">Nilai kelas, koordinat, sudut, dan perintah diterima benar.</x:t>
  </x:si>
  <x:si>
    <x:t xml:space="preserve">Log UART</x:t>
  </x:si>
  <x:si>
    <x:t xml:space="preserve">INT-01</x:t>
  </x:si>
  <x:si>
    <x:t xml:space="preserve">Integrasi</x:t>
  </x:si>
  <x:si>
    <x:t xml:space="preserve">Uji satu siklus tanpa koreksi orientasi.</x:t>
  </x:si>
  <x:si>
    <x:t xml:space="preserve">Kapasitor sudah pada orientasi 0°.</x:t>
  </x:si>
  <x:si>
    <x:t xml:space="preserve">10 kali</x:t>
  </x:si>
  <x:si>
    <x:t xml:space="preserve">Deteksi, conveyor, aksi, penempatan, conveyor lanjut</x:t>
  </x:si>
  <x:si>
    <x:t xml:space="preserve">Satu siklus lengkap berhasil tanpa intervensi manual.</x:t>
  </x:si>
  <x:si>
    <x:t xml:space="preserve">Video + tabel siklus</x:t>
  </x:si>
  <x:si>
    <x:t xml:space="preserve">INT-02</x:t>
  </x:si>
  <x:si>
    <x:t xml:space="preserve">Uji satu siklus dengan koreksi orientasi.</x:t>
  </x:si>
  <x:si>
    <x:t xml:space="preserve">Kapasitor pada sudut selain 0°.</x:t>
  </x:si>
  <x:si>
    <x:t xml:space="preserve">10 kali per sudut</x:t>
  </x:si>
  <x:si>
    <x:t xml:space="preserve">Deviasi, sudut koreksi, pickup, reorientasi, placement</x:t>
  </x:si>
  <x:si>
    <x:t xml:space="preserve">Orientasi terkoreksi dan objek ditempatkan pada output yang benar.</x:t>
  </x:si>
  <x:si>
    <x:t xml:space="preserve">Video + log manipulator</x:t>
  </x:si>
  <x:si>
    <x:t xml:space="preserve">INT-03</x:t>
  </x:si>
  <x:si>
    <x:t xml:space="preserve">Uji penanganan objek asing/background.</x:t>
  </x:si>
  <x:si>
    <x:t xml:space="preserve">Belt kosong dan objek non-target.</x:t>
  </x:si>
  <x:si>
    <x:t xml:space="preserve">10 kali per skenario</x:t>
  </x:si>
  <x:si>
    <x:t xml:space="preserve">False positive; aksi sistem</x:t>
  </x:si>
  <x:si>
    <x:t xml:space="preserve">Tidak ada pickup atau koreksi yang salah.</x:t>
  </x:si>
  <x:si>
    <x:t xml:space="preserve">TIME-01</x:t>
  </x:si>
  <x:si>
    <x:t xml:space="preserve">Waktu siklus</x:t>
  </x:si>
  <x:si>
    <x:t xml:space="preserve">Ukur waktu deteksi hingga conveyor berjalan kembali.</x:t>
  </x:si>
  <x:si>
    <x:t xml:space="preserve">Tanpa koreksi, koreksi orientasi, objek asing.</x:t>
  </x:si>
  <x:si>
    <x:t xml:space="preserve">Total waktu dan rata-rata</x:t>
  </x:si>
  <x:si>
    <x:t xml:space="preserve">Rata-rata dihitung dan dibandingkan antar skenario.</x:t>
  </x:si>
  <x:si>
    <x:t xml:space="preserve">Timestamp/log</x:t>
  </x:si>
  <x:si>
    <x:t xml:space="preserve">FAIL-01</x:t>
  </x:si>
  <x:si>
    <x:t xml:space="preserve">Failure analysis</x:t>
  </x:si>
  <x:si>
    <x:t xml:space="preserve">Catat kegagalan, dugaan penyebab, perbaikan, dan uji ulang.</x:t>
  </x:si>
  <x:si>
    <x:t xml:space="preserve">Kegagalan citra, komunikasi, manipulator, vacuum, atau model.</x:t>
  </x:si>
  <x:si>
    <x:t xml:space="preserve">Setiap kegagalan</x:t>
  </x:si>
  <x:si>
    <x:t xml:space="preserve">Gejala, penyebab, tindakan, hasil ulang</x:t>
  </x:si>
  <x:si>
    <x:t xml:space="preserve">Test case yang sama diulang setelah perbaikan; bukti tersimpan.</x:t>
  </x:si>
  <x:si>
    <x:t xml:space="preserve">Tabel analisis kegagalan</x:t>
  </x:si>
  <x:si>
    <x:t xml:space="preserve">Kamus Kode dan Istilah Pengujian Real-Case</x:t>
  </x:si>
  <x:si>
    <x:t xml:space="preserve">Kode/istilah</x:t>
  </x:si>
  <x:si>
    <x:t xml:space="preserve">Kepanjangan</x:t>
  </x:si>
  <x:si>
    <x:t xml:space="preserve">Arti Bahasa Indonesia</x:t>
  </x:si>
  <x:si>
    <x:t xml:space="preserve">Penjelasan sederhana</x:t>
  </x:si>
  <x:si>
    <x:t xml:space="preserve">Contoh penggunaan</x:t>
  </x:si>
  <x:si>
    <x:t xml:space="preserve">RC</x:t>
  </x:si>
  <x:si>
    <x:t xml:space="preserve">Real-Case</x:t>
  </x:si>
  <x:si>
    <x:t xml:space="preserve">Kasus nyata</x:t>
  </x:si>
  <x:si>
    <x:t xml:space="preserve">Pengujian langsung pada alat dan kondisi operasional sebenarnya.</x:t>
  </x:si>
  <x:si>
    <x:t xml:space="preserve">AQ</x:t>
  </x:si>
  <x:si>
    <x:t xml:space="preserve">Acquisition</x:t>
  </x:si>
  <x:si>
    <x:t xml:space="preserve">Akuisisi/pengambilan data</x:t>
  </x:si>
  <x:si>
    <x:t xml:space="preserve">Memeriksa proses pengambilan dan kelayakan citra dataset.</x:t>
  </x:si>
  <x:si>
    <x:t xml:space="preserve">CV</x:t>
  </x:si>
  <x:si>
    <x:t xml:space="preserve">Computer Vision</x:t>
  </x:si>
  <x:si>
    <x:t xml:space="preserve">Visi komputer</x:t>
  </x:si>
  <x:si>
    <x:t xml:space="preserve">Pengujian kamera, deteksi objek, klasifikasi, dan model YOLO.</x:t>
  </x:si>
  <x:si>
    <x:t xml:space="preserve">DS</x:t>
  </x:si>
  <x:si>
    <x:t xml:space="preserve">Dataset</x:t>
  </x:si>
  <x:si>
    <x:t xml:space="preserve">Kumpulan data</x:t>
  </x:si>
  <x:si>
    <x:t xml:space="preserve">Pengujian variasi, jumlah, dan pembagian dataset.</x:t>
  </x:si>
  <x:si>
    <x:t xml:space="preserve">MEC</x:t>
  </x:si>
  <x:si>
    <x:t xml:space="preserve">Mechanical</x:t>
  </x:si>
  <x:si>
    <x:t xml:space="preserve">Mekanik</x:t>
  </x:si>
  <x:si>
    <x:t xml:space="preserve">Pengujian ketepatan dan konsistensi gerak manipulator.</x:t>
  </x:si>
  <x:si>
    <x:t xml:space="preserve">SAFE</x:t>
  </x:si>
  <x:si>
    <x:t xml:space="preserve">Safety</x:t>
  </x:si>
  <x:si>
    <x:t xml:space="preserve">Keselamatan</x:t>
  </x:si>
  <x:si>
    <x:t xml:space="preserve">Pengujian agar sistem aman saat terjadi gangguan atau kehilangan daya.</x:t>
  </x:si>
  <x:si>
    <x:t xml:space="preserve">HOME</x:t>
  </x:si>
  <x:si>
    <x:t xml:space="preserve">Homing</x:t>
  </x:si>
  <x:si>
    <x:t xml:space="preserve">Pencarian posisi awal</x:t>
  </x:si>
  <x:si>
    <x:t xml:space="preserve">Proses manipulator mencari titik referensi sebelum bekerja.</x:t>
  </x:si>
  <x:si>
    <x:t xml:space="preserve">VIB</x:t>
  </x:si>
  <x:si>
    <x:t xml:space="preserve">Vibration</x:t>
  </x:si>
  <x:si>
    <x:t xml:space="preserve">Getaran</x:t>
  </x:si>
  <x:si>
    <x:t xml:space="preserve">Pengujian getaran dan batas akselerasi sebelum motor kehilangan langkah.</x:t>
  </x:si>
  <x:si>
    <x:t xml:space="preserve">COM</x:t>
  </x:si>
  <x:si>
    <x:t xml:space="preserve">Communication</x:t>
  </x:si>
  <x:si>
    <x:t xml:space="preserve">Komunikasi data</x:t>
  </x:si>
  <x:si>
    <x:t xml:space="preserve">Pengujian pengiriman data PC, PLC, dan STM32.</x:t>
  </x:si>
  <x:si>
    <x:t xml:space="preserve">COM-01 / COM-02</x:t>
  </x:si>
  <x:si>
    <x:t xml:space="preserve">INT</x:t>
  </x:si>
  <x:si>
    <x:t xml:space="preserve">Integration</x:t>
  </x:si>
  <x:si>
    <x:t xml:space="preserve">Integrasi sistem</x:t>
  </x:si>
  <x:si>
    <x:t xml:space="preserve">Pengujian kamera, YOLO, konveyor, PLC, dan manipulator sebagai satu sistem.</x:t>
  </x:si>
  <x:si>
    <x:t xml:space="preserve">TIME</x:t>
  </x:si>
  <x:si>
    <x:t xml:space="preserve">Cycle Time</x:t>
  </x:si>
  <x:si>
    <x:t xml:space="preserve">Waktu dari objek terdeteksi sampai proses selesai.</x:t>
  </x:si>
  <x:si>
    <x:t xml:space="preserve">FAIL</x:t>
  </x:si>
  <x:si>
    <x:t xml:space="preserve">Failure Analysis</x:t>
  </x:si>
  <x:si>
    <x:t xml:space="preserve">Analisis kegagalan</x:t>
  </x:si>
  <x:si>
    <x:t xml:space="preserve">Pencatatan penyebab gagal, perbaikan, dan pengujian ulang.</x:t>
  </x:si>
  <x:si>
    <x:t xml:space="preserve">VisionSystem</x:t>
  </x:si>
  <x:si>
    <x:t xml:space="preserve">Vision System</x:t>
  </x:si>
  <x:si>
    <x:t xml:space="preserve">Sistem visi</x:t>
  </x:si>
  <x:si>
    <x:t xml:space="preserve">Bagian program kamera dan pemrosesan citra.</x:t>
  </x:si>
  <x:si>
    <x:t xml:space="preserve">Telemetry</x:t>
  </x:si>
  <x:si>
    <x:t xml:space="preserve">Telemetri data</x:t>
  </x:si>
  <x:si>
    <x:t xml:space="preserve">Pengiriman informasi hasil deteksi ke controller.</x:t>
  </x:si>
  <x:si>
    <x:t xml:space="preserve">Tracking</x:t>
  </x:si>
  <x:si>
    <x:t xml:space="preserve">Object Tracking</x:t>
  </x:si>
  <x:si>
    <x:t xml:space="preserve">Pelacakan objek</x:t>
  </x:si>
  <x:si>
    <x:t xml:space="preserve">Mengikuti posisi objek yang bergerak di dalam frame.</x:t>
  </x:si>
  <x:si>
    <x:t xml:space="preserve">Firmware</x:t>
  </x:si>
  <x:si>
    <x:t xml:space="preserve">Program mikrokontroler</x:t>
  </x:si>
  <x:si>
    <x:t xml:space="preserve">Program yang berjalan langsung pada STM32 atau perangkat embedded.</x:t>
  </x:si>
  <x:si>
    <x:t xml:space="preserve">Verifikasi</x:t>
  </x:si>
  <x:si>
    <x:t xml:space="preserve">Verification</x:t>
  </x:si>
  <x:si>
    <x:t xml:space="preserve">Pemeriksaan bahwa program memenuhi aturan dan test otomatis lulus.</x:t>
  </x:si>
  <x:si>
    <x:t xml:space="preserve">Informasi data</x:t>
  </x:si>
  <x:si>
    <x:t xml:space="preserve">Keterangan seperti kelas, sudut, posisi, sesi, cahaya, dan status citra.</x:t>
  </x:si>
  <x:si>
    <x:t xml:space="preserve">Pembagian dataset</x:t>
  </x:si>
  <x:si>
    <x:t xml:space="preserve">Pembagian data menjadi training, validation, dan testing.</x:t>
  </x:si>
  <x:si>
    <x:t xml:space="preserve">Generalization</x:t>
  </x:si>
  <x:si>
    <x:t xml:space="preserve">Kemampuan beradaptasi</x:t>
  </x:si>
  <x:si>
    <x:t xml:space="preserve">Kemampuan model mengenali variasi yang belum persis sama dengan data latih.</x:t>
  </x:si>
  <x:si>
    <x:t xml:space="preserve">Confidence</x:t>
  </x:si>
  <x:si>
    <x:t xml:space="preserve">Confidence score</x:t>
  </x:si>
  <x:si>
    <x:t xml:space="preserve">Nilai keyakinan</x:t>
  </x:si>
  <x:si>
    <x:t xml:space="preserve">Tingkat keyakinan model terhadap hasil prediksi.</x:t>
  </x:si>
  <x:si>
    <x:t xml:space="preserve">Miss</x:t>
  </x:si>
  <x:si>
    <x:t xml:space="preserve">Missed detection</x:t>
  </x:si>
  <x:si>
    <x:t xml:space="preserve">Objek terlewat</x:t>
  </x:si>
  <x:si>
    <x:t xml:space="preserve">Objek ada, tetapi tidak berhasil dideteksi.</x:t>
  </x:si>
  <x:si>
    <x:t xml:space="preserve">False positive</x:t>
  </x:si>
  <x:si>
    <x:t xml:space="preserve">Deteksi positif palsu</x:t>
  </x:si>
  <x:si>
    <x:t xml:space="preserve">Sistem mendeteksi objek padahal objek tidak ada atau kelasnya salah.</x:t>
  </x:si>
  <x:si>
    <x:t xml:space="preserve">CRC16</x:t>
  </x:si>
  <x:si>
    <x:t xml:space="preserve">Cyclic Redundancy Check 16-bit</x:t>
  </x:si>
  <x:si>
    <x:t xml:space="preserve">Pemeriksaan integritas data</x:t>
  </x:si>
  <x:si>
    <x:t xml:space="preserve">Kode untuk memeriksa apakah paket komunikasi rusak.</x:t>
  </x:si>
  <x:si>
    <x:t xml:space="preserve">Debounce</x:t>
  </x:si>
  <x:si>
    <x:t xml:space="preserve">Detection debounce</x:t>
  </x:si>
  <x:si>
    <x:t xml:space="preserve">Pencegah pengulangan deteksi</x:t>
  </x:si>
  <x:si>
    <x:t xml:space="preserve">Mencegah satu objek yang terlihat di banyak frame diproses berkali-kali.</x:t>
  </x:si>
  <x:si>
    <x:t xml:space="preserve">Step loss</x:t>
  </x:si>
  <x:si>
    <x:t xml:space="preserve">Kehilangan langkah motor</x:t>
  </x:si>
  <x:si>
    <x:t xml:space="preserve">Motor bergerak tidak sesuai perintah sehingga posisi aktual meleset.</x:t>
  </x:si>
  <x:si>
    <x:t xml:space="preserve">Vacuum pickup</x:t>
  </x:si>
  <x:si>
    <x:t xml:space="preserve">Pengambilan dengan vakum</x:t>
  </x:si>
  <x:si>
    <x:t xml:space="preserve">Proses mengangkat kapasitor menggunakan hisapan.</x:t>
  </x:si>
  <x:si>
    <x:t xml:space="preserve">Placement</x:t>
  </x:si>
  <x:si>
    <x:t xml:space="preserve">Penempatan objek</x:t>
  </x:si>
  <x:si>
    <x:t xml:space="preserve">Proses meletakkan kapasitor pada jig atau area output.</x:t>
  </x:si>
  <x:si>
    <x:t xml:space="preserve">UART</x:t>
  </x:si>
  <x:si>
    <x:t xml:space="preserve">Universal Asynchronous Receiver/Transmitter</x:t>
  </x:si>
  <x:si>
    <x:t xml:space="preserve">Komunikasi serial</x:t>
  </x:si>
  <x:si>
    <x:t xml:space="preserve">Jalur komunikasi antara PC dan mikrokontroler.</x:t>
  </x:si>
  <x:si>
    <x:t xml:space="preserve">Modbus TCP/IP</x:t>
  </x:si>
  <x:si>
    <x:t xml:space="preserve">Komunikasi jaringan industri</x:t>
  </x:si>
  <x:si>
    <x:t xml:space="preserve">Jalur komunikasi PC dengan PLC.</x:t>
  </x:si>
  <x:si>
    <x:t xml:space="preserve">ROI</x:t>
  </x:si>
  <x:si>
    <x:t xml:space="preserve">Region of Interest</x:t>
  </x:si>
  <x:si>
    <x:t xml:space="preserve">Area perhatian</x:t>
  </x:si>
  <x:si>
    <x:t xml:space="preserve">Bagian frame yang dipakai sebagai area utama deteksi.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</x:si>
</x:sst>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b/>
      <x:sz val="10"/>
      <x:name val="Arial"/>
    </x:font>
    <x:font>
      <x:b/>
      <x:sz val="11"/>
      <x:color rgb="FF1F1F1F"/>
      <x:name val="Arial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  <x:fill>
      <x:patternFill patternType="solid">
        <x:fgColor rgb="FF7030A0"/>
      </x:patternFill>
    </x:fill>
    <x:fill>
      <x:patternFill patternType="solid">
        <x:fgColor rgb="FF203864"/>
      </x:patternFill>
    </x:fill>
    <x:fill>
      <x:patternFill patternType="solid">
        <x:fgColor rgb="FF5B9BD5"/>
      </x:patternFill>
    </x:fill>
  </x:fills>
  <x:borders count="2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0" xfId="0" applyAlignment="1">
      <x:alignment wrapText="1"/>
    </x:xf>
    <x:xf numFmtId="0" fontId="5" fillId="2" borderId="0" xfId="0" applyFont="1" applyFill="1" applyAlignment="1">
      <x:alignment vertical="center" wrapText="1"/>
    </x:xf>
    <x:xf numFmtId="0" fontId="1" fillId="0" borderId="0" xfId="0" applyFont="1" applyAlignment="1">
      <x:alignment vertical="center"/>
    </x:xf>
    <x:xf numFmtId="0" fontId="5" fillId="7" borderId="0" xfId="0" applyFont="1" applyFill="1" applyAlignment="1">
      <x:alignment vertical="center"/>
    </x:xf>
    <x:xf numFmtId="0" fontId="5" fillId="2" borderId="0" xfId="0" applyFont="1" applyFill="1" applyAlignment="1">
      <x:alignment vertical="center"/>
    </x:xf>
    <x:xf numFmtId="0" fontId="3" fillId="8" borderId="0" xfId="0" applyFont="1" applyFill="1"/>
    <x:xf numFmtId="0" fontId="2" fillId="10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5" fillId="2" borderId="1" xfId="0" applyFont="1" applyFill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0" fillId="0" borderId="1" xfId="0" applyBorder="1" applyAlignment="1">
      <x:alignment vertical="top" wrapText="1"/>
    </x:xf>
    <x:xf numFmtId="0" fontId="1" fillId="0" borderId="1" xfId="0" applyFont="1" applyBorder="1" applyAlignment="1">
      <x:alignment vertical="center"/>
    </x:xf>
    <x:xf numFmtId="0" fontId="4" fillId="11" borderId="1" xfId="0" applyFont="1" applyFill="1" applyBorder="1"/>
    <x:xf numFmtId="0" fontId="0" fillId="0" borderId="1" xfId="0" applyBorder="1"/>
    <x:xf numFmtId="0" fontId="3" fillId="10" borderId="1" xfId="0" applyFont="1" applyFill="1" applyBorder="1" applyAlignment="1">
      <x:alignment vertical="center" wrapText="1"/>
    </x:xf>
    <x:xf numFmtId="0" fontId="3" fillId="1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vertical="center"/>
    </x:xf>
    <x:xf numFmtId="0" fontId="5" fillId="4" borderId="1" xfId="0" applyFont="1" applyFill="1" applyBorder="1" applyAlignment="1">
      <x:alignment vertical="center"/>
    </x:xf>
    <x:xf numFmtId="0" fontId="7" fillId="5" borderId="1" xfId="0" applyFont="1" applyFill="1" applyBorder="1" applyAlignment="1">
      <x:alignment vertical="center"/>
    </x:xf>
    <x:xf numFmtId="0" fontId="7" fillId="6" borderId="1" xfId="0" applyFont="1" applyFill="1" applyBorder="1" applyAlignment="1">
      <x:alignment vertical="center"/>
    </x:xf>
    <x:xf numFmtId="0" fontId="4" fillId="9" borderId="1" xfId="0" applyFont="1" applyFill="1" applyBorder="1"/>
    <x:xf numFmtId="0" fontId="0" fillId="0" borderId="1" xfId="0" applyBorder="1" applyAlignment="1">
      <x:alignment wrapText="1"/>
    </x:xf>
    <x:xf numFmtId="0" fontId="0" fillId="0" borderId="0" xfId="0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/>
    <x:xf numFmtId="0" fontId="0" fillId="0" borderId="3" xfId="0" applyNumberFormat="1" applyFont="1" applyFill="1" applyBorder="1"/>
    <x:xf numFmtId="0" fontId="3" fillId="2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8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4" fillId="15" borderId="3" xfId="0" applyNumberFormat="1" applyFont="1" applyFill="1" applyBorder="1" applyAlignment="1">
      <x:alignment vertical="top" wrapText="1"/>
    </x:xf>
    <x:xf numFmtId="0" fontId="0" fillId="15" borderId="3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8" fillId="15" borderId="3" xfId="0" applyNumberFormat="1" applyFont="1" applyFill="1" applyBorder="1" applyAlignment="1">
      <x:alignment vertical="top" wrapText="1"/>
    </x:xf>
    <x:xf numFmtId="0" fontId="9" fillId="15" borderId="3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horizontal="center"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horizontal="center" vertical="top" wrapText="1"/>
    </x:xf>
    <x:xf numFmtId="0" fontId="5" fillId="1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horizont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/>
    <x:xf numFmtId="0" fontId="10" fillId="14" borderId="2" xfId="0" applyNumberFormat="1" applyFont="1" applyFill="1" applyBorder="1"/>
    <x:xf numFmtId="0" fontId="10" fillId="14" borderId="2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10" fillId="14" borderId="2" xfId="0" applyNumberFormat="1" applyFont="1" applyFill="1" applyBorder="1" applyAlignment="1">
      <x:alignment horizontal="center" wrapText="1"/>
    </x:xf>
    <x:xf numFmtId="0" fontId="10" fillId="14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horizontal="center" vertical="top" wrapText="1"/>
    </x:xf>
    <x:xf numFmtId="0" fontId="10" fillId="14" borderId="2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/>
    <x:xf numFmtId="0" fontId="10" fillId="16" borderId="2" xfId="0" applyNumberFormat="1" applyFont="1" applyFill="1" applyBorder="1"/>
    <x:xf numFmtId="0" fontId="10" fillId="16" borderId="2" xfId="0" applyNumberFormat="1" applyFont="1" applyFill="1" applyBorder="1" applyAlignment="1">
      <x:alignment wrapText="1"/>
    </x:xf>
    <x:xf numFmtId="0" fontId="10" fillId="16" borderId="2" xfId="0" applyNumberFormat="1" applyFont="1" applyFill="1" applyBorder="1" applyAlignment="1">
      <x:alignment horizontal="center" wrapText="1"/>
    </x:xf>
    <x:xf numFmtId="0" fontId="10" fillId="16" borderId="2" xfId="0" applyNumberFormat="1" applyFont="1" applyFill="1" applyBorder="1" applyAlignment="1">
      <x:alignment horizontal="center" vertical="center" wrapText="1"/>
    </x:xf>
    <x:xf numFmtId="0" fontId="10" fillId="16" borderId="0" xfId="0" applyNumberFormat="1" applyFont="1" applyFill="1" applyBorder="1" applyAlignment="1">
      <x:alignment horizontal="center" vertical="top" wrapText="1"/>
    </x:xf>
    <x:xf numFmtId="0" fontId="10" fillId="16" borderId="2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horizont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/>
    <x:xf numFmtId="0" fontId="10" fillId="17" borderId="2" xfId="0" applyNumberFormat="1" applyFont="1" applyFill="1" applyBorder="1"/>
    <x:xf numFmtId="0" fontId="10" fillId="17" borderId="2" xfId="0" applyNumberFormat="1" applyFont="1" applyFill="1" applyBorder="1" applyAlignment="1">
      <x:alignment wrapText="1"/>
    </x:xf>
    <x:xf numFmtId="0" fontId="10" fillId="17" borderId="2" xfId="0" applyNumberFormat="1" applyFont="1" applyFill="1" applyBorder="1" applyAlignment="1">
      <x:alignment horizontal="center" wrapText="1"/>
    </x:xf>
    <x:xf numFmtId="0" fontId="10" fillId="17" borderId="2" xfId="0" applyNumberFormat="1" applyFont="1" applyFill="1" applyBorder="1" applyAlignment="1">
      <x:alignment horizontal="center" vertical="center" wrapText="1"/>
    </x:xf>
    <x:xf numFmtId="0" fontId="10" fillId="17" borderId="0" xfId="0" applyNumberFormat="1" applyFont="1" applyFill="1" applyBorder="1" applyAlignment="1">
      <x:alignment horizontal="center" vertical="top" wrapText="1"/>
    </x:xf>
    <x:xf numFmtId="0" fontId="10" fillId="17" borderId="2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center"/>
    </x:xf>
    <x:xf numFmtId="0" fontId="11" fillId="18" borderId="0" xfId="0" applyNumberFormat="1" applyFont="1" applyFill="1" applyBorder="1" applyAlignment="1">
      <x:alignment horizontal="center" vertical="center"/>
    </x:xf>
    <x:xf numFmtId="0" fontId="0" fillId="18" borderId="2" xfId="0" applyNumberFormat="1" applyFont="1" applyFill="1" applyBorder="1"/>
    <x:xf numFmtId="0" fontId="11" fillId="18" borderId="2" xfId="0" applyNumberFormat="1" applyFont="1" applyFill="1" applyBorder="1"/>
    <x:xf numFmtId="0" fontId="11" fillId="18" borderId="2" xfId="0" applyNumberFormat="1" applyFont="1" applyFill="1" applyBorder="1" applyAlignment="1">
      <x:alignment horizontal="center"/>
    </x:xf>
    <x:xf numFmtId="0" fontId="11" fillId="18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0" xfId="0" applyNumberFormat="1" applyFont="1" applyFill="1" applyBorder="1" applyAlignment="1">
      <x:alignment horizontal="center"/>
    </x:xf>
    <x:xf numFmtId="0" fontId="0" fillId="19" borderId="2" xfId="0" applyNumberFormat="1" applyFont="1" applyFill="1" applyBorder="1"/>
    <x:xf numFmtId="0" fontId="10" fillId="19" borderId="2" xfId="0" applyNumberFormat="1" applyFont="1" applyFill="1" applyBorder="1"/>
    <x:xf numFmtId="0" fontId="10" fillId="19" borderId="2" xfId="0" applyNumberFormat="1" applyFont="1" applyFill="1" applyBorder="1" applyAlignment="1">
      <x:alignment horizontal="center"/>
    </x:xf>
    <x:xf numFmtId="0" fontId="10" fillId="19" borderId="20" xfId="0" applyNumberFormat="1" applyFont="1" applyFill="1" applyBorder="1" applyAlignment="1">
      <x:alignment horizontal="center"/>
    </x:xf>
    <x:xf numFmtId="0" fontId="10" fillId="19" borderId="21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10" fillId="19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10" fillId="19" borderId="23" xfId="0" applyNumberFormat="1" applyFont="1" applyFill="1" applyBorder="1" applyAlignment="1">
      <x:alignment horizontal="center"/>
    </x:xf>
    <x:xf numFmtId="0" fontId="10" fillId="19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</x:cellXfs>
  <x:cellStyles count="1">
    <x:cellStyle name="Normal" xfId="0"/>
  </x:cellStyles>
  <x:dxfs count="17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15ca4b3a74380" /><Relationship Type="http://schemas.openxmlformats.org/officeDocument/2006/relationships/theme" Target="/xl/theme/theme1.xml" Id="Rceefbdee7ae048e4" /><Relationship Type="http://schemas.openxmlformats.org/officeDocument/2006/relationships/sharedStrings" Target="/xl/sharedStrings.xml" Id="Rd2aa24e90c8240a7" /><Relationship Type="http://schemas.openxmlformats.org/officeDocument/2006/relationships/worksheet" Target="/xl/worksheets/sheet1.xml" Id="Re98a544b4c62454a" /><Relationship Type="http://schemas.openxmlformats.org/officeDocument/2006/relationships/worksheet" Target="/xl/worksheets/sheet2.xml" Id="R8dbe668a38b547bf" /><Relationship Type="http://schemas.openxmlformats.org/officeDocument/2006/relationships/worksheet" Target="/xl/worksheets/sheet3.xml" Id="Ra022dbd803f44b14" /><Relationship Type="http://schemas.openxmlformats.org/officeDocument/2006/relationships/worksheet" Target="/xl/worksheets/sheet4.xml" Id="R8da8c92a4b934de1" /><Relationship Type="http://schemas.openxmlformats.org/officeDocument/2006/relationships/worksheet" Target="/xl/worksheets/sheet5.xml" Id="Rbeb9fd9c929d4a91" /><Relationship Type="http://schemas.openxmlformats.org/officeDocument/2006/relationships/worksheet" Target="/xl/worksheets/sheet6.xml" Id="R2a0228ab86e24dc6" /><Relationship Type="http://schemas.openxmlformats.org/officeDocument/2006/relationships/worksheet" Target="/xl/worksheets/sheet7.xml" Id="R2e7ba7bc9ec34aed" /><Relationship Type="http://schemas.openxmlformats.org/officeDocument/2006/relationships/worksheet" Target="/xl/worksheets/sheet8.xml" Id="Rcb98bd3c5314415f" /><Relationship Type="http://schemas.openxmlformats.org/officeDocument/2006/relationships/worksheet" Target="/xl/worksheets/sheet9.xml" Id="Re760f2ad40f647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95f56e579c42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Rencana_Uji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Jumlah</c:v>
          </c:tx>
          <c:cat>
            <c:strRef>
              <c:f>'Dashboard'!$G$4:$G$7</c:f>
              <c:strCache>
                <c:ptCount val="0"/>
              </c:strCache>
            </c:strRef>
          </c:cat>
          <c:val>
            <c:numRef>
              <c:f>'Dashboard'!$H$4:$H$7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5f56e579c42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163536a9282141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2" width="44" customWidth="1"/>
    <x:col min="3" max="3" width="32" customWidth="1"/>
    <x:col min="4" max="4" width="22" customWidth="1"/>
    <x:col min="5" max="5" width="24" customWidth="1"/>
    <x:col min="6" max="6" width="18" customWidth="1"/>
    <x:col min="7" max="7" width="14" customWidth="1"/>
    <x:col min="8" max="8" width="18" customWidth="1"/>
  </x:cols>
  <x:sheetData>
    <x:row r="1" ht="15" customHeight="1">
      <x:c r="A1" s="5" t="s">
        <x:v>0</x:v>
      </x:c>
      <x:c r="B1" s="5"/>
      <x:c r="C1" s="5"/>
      <x:c r="D1" s="5"/>
      <x:c r="E1" s="5"/>
      <x:c r="F1" s="5"/>
      <x:c r="G1" s="5"/>
      <x:c r="H1" s="5"/>
    </x:row>
    <x:row r="2" ht="15" customHeight="1">
      <x:c r="A2" s="3"/>
      <x:c r="B2" s="3"/>
      <x:c r="C2" s="3"/>
      <x:c r="D2" s="3"/>
      <x:c r="E2" s="3"/>
      <x:c r="F2" s="3"/>
      <x:c r="G2" s="3"/>
      <x:c r="H2" s="3"/>
    </x:row>
    <x:row r="3" ht="60" customHeight="1">
      <x:c r="A3" s="17" t="s">
        <x:v>1</x:v>
      </x:c>
      <x:c r="B3" s="10" t="s">
        <x:v>2</x:v>
      </x:c>
      <x:c r="C3" s="12"/>
      <x:c r="D3" s="18" t="s">
        <x:v>3</x:v>
      </x:c>
      <x:c r="E3" s="18" t="s">
        <x:v>4</x:v>
      </x:c>
      <x:c r="F3" s="3"/>
      <x:c r="G3" s="3"/>
      <x:c r="H3" s="3"/>
    </x:row>
    <x:row r="4" ht="60" customHeight="1">
      <x:c r="A4" s="17" t="s">
        <x:v>5</x:v>
      </x:c>
      <x:c r="B4" s="10" t="str">
        <x:v>Elco Benar, Elco Salah, Bukan_Elco, dan background/Null (belt kosong tanpa objek).</x:v>
      </x:c>
      <x:c r="C4" s="12"/>
      <x:c r="D4" s="19" t="s">
        <x:v>6</x:v>
      </x:c>
      <x:c r="E4" s="12"/>
      <x:c r="F4" s="3"/>
      <x:c r="G4" s="3"/>
      <x:c r="H4" s="3"/>
    </x:row>
    <x:row r="5" ht="60" customHeight="1">
      <x:c r="A5" s="17" t="s">
        <x:v>7</x:v>
      </x:c>
      <x:c r="B5" s="10" t="s">
        <x:v>8</x:v>
      </x:c>
      <x:c r="C5" s="12"/>
      <x:c r="D5" s="19" t="s">
        <x:v>9</x:v>
      </x:c>
      <x:c r="E5" s="12"/>
      <x:c r="F5" s="3"/>
      <x:c r="G5" s="3"/>
      <x:c r="H5" s="3"/>
    </x:row>
    <x:row r="6" ht="60" customHeight="1">
      <x:c r="A6" s="17" t="s">
        <x:v>10</x:v>
      </x:c>
      <x:c r="B6" s="10" t="s">
        <x:v>11</x:v>
      </x:c>
      <x:c r="C6" s="12"/>
      <x:c r="D6" s="19" t="s">
        <x:v>12</x:v>
      </x:c>
      <x:c r="E6" s="12"/>
      <x:c r="F6" s="3"/>
      <x:c r="G6" s="3"/>
      <x:c r="H6" s="3"/>
    </x:row>
    <x:row r="7" ht="60" customHeight="1">
      <x:c r="A7" s="17" t="s">
        <x:v>13</x:v>
      </x:c>
      <x:c r="B7" s="10" t="s">
        <x:v>14</x:v>
      </x:c>
      <x:c r="C7" s="12"/>
      <x:c r="D7" s="19" t="s">
        <x:v>15</x:v>
      </x:c>
      <x:c r="E7" s="12"/>
      <x:c r="F7" s="3"/>
      <x:c r="G7" s="3"/>
      <x:c r="H7" s="3"/>
    </x:row>
    <x:row r="8" ht="60" customHeight="1">
      <x:c r="A8" s="17" t="s">
        <x:v>16</x:v>
      </x:c>
      <x:c r="B8" s="10" t="s">
        <x:v>17</x:v>
      </x:c>
      <x:c r="C8" s="12"/>
      <x:c r="D8" s="19" t="s">
        <x:v>18</x:v>
      </x:c>
      <x:c r="E8" s="20" t="s">
        <x:v>19</x:v>
      </x:c>
      <x:c r="F8" s="3"/>
      <x:c r="G8" s="3"/>
      <x:c r="H8" s="3"/>
    </x:row>
    <x:row r="9" ht="15" customHeight="1">
      <x:c r="A9" s="3"/>
      <x:c r="B9" s="3"/>
      <x:c r="C9" s="3"/>
      <x:c r="D9" s="3"/>
      <x:c r="E9" s="3"/>
      <x:c r="F9" s="3"/>
      <x:c r="G9" s="3"/>
      <x:c r="H9" s="3"/>
    </x:row>
    <x:row r="10" ht="15" customHeight="1">
      <x:c r="A10" s="3"/>
      <x:c r="B10" s="3"/>
      <x:c r="C10" s="3"/>
      <x:c r="D10" s="3"/>
      <x:c r="E10" s="3"/>
      <x:c r="F10" s="3"/>
      <x:c r="G10" s="3"/>
      <x:c r="H10" s="3"/>
    </x:row>
    <x:row r="11" ht="15" customHeight="1">
      <x:c r="A11" s="66" t="str">
        <x:v>Urutan kerja real-case</x:v>
      </x:c>
      <x:c r="B11" s="66"/>
      <x:c r="C11" s="66"/>
      <x:c r="D11" s="66"/>
      <x:c r="E11" s="66"/>
      <x:c r="F11" s="66"/>
      <x:c r="G11" s="66"/>
      <x:c r="H11" s="4"/>
    </x:row>
    <x:row r="12" ht="60" customHeight="1">
      <x:c r="A12" s="56" t="str">
        <x:v>1</x:v>
      </x:c>
      <x:c r="B12" s="56" t="str">
        <x:v>Persiapan area</x:v>
      </x:c>
      <x:c r="C12" s="56" t="str">
        <x:v>Bersihkan area kamera dan belt; pastikan pencahayaan stabil dan emergency stop siap.</x:v>
      </x:c>
      <x:c r="D12" s="56" t="str">
        <x:v>Checklist keselamatan</x:v>
      </x:c>
      <x:c r="E12" s="56" t="str">
        <x:v>Sebelum start</x:v>
      </x:c>
      <x:c r="F12" s="56" t="str">
        <x:v>Operator</x:v>
      </x:c>
      <x:c r="G12" s="56" t="str">
        <x:v>Belum</x:v>
      </x:c>
      <x:c r="H12" s="10"/>
    </x:row>
    <x:row r="13" ht="60" customHeight="1">
      <x:c r="A13" s="56" t="str">
        <x:v>2</x:v>
      </x:c>
      <x:c r="B13" s="56" t="str">
        <x:v>Pemeriksaan sistem</x:v>
      </x:c>
      <x:c r="C13" s="56" t="str">
        <x:v>Nyalakan PC, kamera, PLC/kontrol manipulator, dan semua koneksi program.</x:v>
      </x:c>
      <x:c r="D13" s="56" t="str">
        <x:v>Semua perangkat siap</x:v>
      </x:c>
      <x:c r="E13" s="56" t="str">
        <x:v>Sebelum start</x:v>
      </x:c>
      <x:c r="F13" s="56" t="str">
        <x:v>Operator</x:v>
      </x:c>
      <x:c r="G13" s="56" t="str">
        <x:v>Belum</x:v>
      </x:c>
      <x:c r="H13" s="10"/>
    </x:row>
    <x:row r="14" ht="60" customHeight="1">
      <x:c r="A14" s="56" t="str">
        <x:v>3</x:v>
      </x:c>
      <x:c r="B14" s="56" t="str">
        <x:v>Pre-realcase gate</x:v>
      </x:c>
      <x:c r="C14" s="56" t="str">
        <x:v>Jalankan RC-21 s.d. RC-25: angle kontinu, telemetry/CRC, tracking debounce, firmware safety, dan automated verification.</x:v>
      </x:c>
      <x:c r="D14" s="56" t="str">
        <x:v>Semua gate PASS</x:v>
      </x:c>
      <x:c r="E14" s="56" t="str">
        <x:v>Sebelum hardware full test</x:v>
      </x:c>
      <x:c r="F14" s="56" t="str">
        <x:v>Tim</x:v>
      </x:c>
      <x:c r="G14" s="56" t="str">
        <x:v>Belum</x:v>
      </x:c>
      <x:c r="H14" s="10"/>
    </x:row>
    <x:row r="15" ht="60" customHeight="1">
      <x:c r="A15" s="56" t="str">
        <x:v>4</x:v>
      </x:c>
      <x:c r="B15" s="56" t="str">
        <x:v>Baseline kamera</x:v>
      </x:c>
      <x:c r="C15" s="56" t="str">
        <x:v>Ambil belt kosong dan objek statis untuk memastikan citra stabil serta tidak ada false detection.</x:v>
      </x:c>
      <x:c r="D15" s="56" t="str">
        <x:v>Citra stabil</x:v>
      </x:c>
      <x:c r="E15" s="56" t="str">
        <x:v>Sebelum uji</x:v>
      </x:c>
      <x:c r="F15" s="56" t="str">
        <x:v>Operator</x:v>
      </x:c>
      <x:c r="G15" s="56" t="str">
        <x:v>Belum</x:v>
      </x:c>
      <x:c r="H15" s="10"/>
    </x:row>
    <x:row r="16" ht="60" customHeight="1">
      <x:c r="A16" s="56" t="str">
        <x:v>5</x:v>
      </x:c>
      <x:c r="B16" s="56" t="str">
        <x:v>Uji deteksi per kelas</x:v>
      </x:c>
      <x:c r="C16" s="56" t="str">
        <x:v>Uji Elco Benar, Elco Salah, Bukan_Elco, dan Null sebagai kondisi terpisah.</x:v>
      </x:c>
      <x:c r="D16" s="56" t="str">
        <x:v>Prediksi dan confidence tercatat</x:v>
      </x:c>
      <x:c r="E16" s="56" t="str">
        <x:v>Skenario deteksi</x:v>
      </x:c>
      <x:c r="F16" s="56" t="str">
        <x:v>Operator</x:v>
      </x:c>
      <x:c r="G16" s="56" t="str">
        <x:v>Belum</x:v>
      </x:c>
      <x:c r="H16" s="10"/>
    </x:row>
    <x:row r="17" ht="60" customHeight="1">
      <x:c r="A17" s="56" t="str">
        <x:v>6</x:v>
      </x:c>
      <x:c r="B17" s="56" t="str">
        <x:v>Kalibrasi &amp; vacuum</x:v>
      </x:c>
      <x:c r="C17" s="56" t="str">
        <x:v>Verifikasi koordinat kamera→konveyor dan reliability pickup/release vacuum sebelum siklus penuh.</x:v>
      </x:c>
      <x:c r="D17" s="56" t="str">
        <x:v>Koordinat dan pickup tervalidasi</x:v>
      </x:c>
      <x:c r="E17" s="56" t="str">
        <x:v>Sebelum integrasi</x:v>
      </x:c>
      <x:c r="F17" s="56" t="str">
        <x:v>Tim</x:v>
      </x:c>
      <x:c r="G17" s="56" t="str">
        <x:v>Belum</x:v>
      </x:c>
      <x:c r="H17" s="10"/>
    </x:row>
    <x:row r="18" ht="60" customHeight="1">
      <x:c r="A18" s="56" t="str">
        <x:v>7</x:v>
      </x:c>
      <x:c r="B18" s="56" t="str">
        <x:v>Uji konveyor</x:v>
      </x:c>
      <x:c r="C18" s="56" t="str">
        <x:v>Jalankan belt; masukkan objek satu per satu lalu berurutan pada jarak aman.</x:v>
      </x:c>
      <x:c r="D18" s="56" t="str">
        <x:v>Deteksi/tracking benar</x:v>
      </x:c>
      <x:c r="E18" s="56" t="str">
        <x:v>Skenario konveyor</x:v>
      </x:c>
      <x:c r="F18" s="56" t="str">
        <x:v>Operator</x:v>
      </x:c>
      <x:c r="G18" s="56" t="str">
        <x:v>Belum</x:v>
      </x:c>
      <x:c r="H18" s="10"/>
    </x:row>
    <x:row r="19">
      <x:c r="A19" s="57" t="str">
        <x:v>8</x:v>
      </x:c>
      <x:c r="B19" s="57" t="str">
        <x:v>Uji integrasi end-to-end</x:v>
      </x:c>
      <x:c r="C19" s="57" t="str">
        <x:v>Jalankan deteksi → stop conveyor → pick → koreksi bila perlu → placement → conveyor resume.</x:v>
      </x:c>
      <x:c r="D19" s="57" t="str">
        <x:v>Siklus lengkap sesuai kelas</x:v>
      </x:c>
      <x:c r="E19" s="57" t="str">
        <x:v>Skenario integrasi</x:v>
      </x:c>
      <x:c r="F19" s="57" t="str">
        <x:v>Tim</x:v>
      </x:c>
      <x:c r="G19" s="57" t="str">
        <x:v>Belum</x:v>
      </x:c>
    </x:row>
    <x:row r="20" ht="15">
      <x:c r="A20" s="58" t="str">
        <x:v>9</x:v>
      </x:c>
      <x:c r="B20" s="58" t="str">
        <x:v>Rekap</x:v>
      </x:c>
      <x:c r="C20" s="58" t="str">
        <x:v>Simpan video, log, screenshot, cycle time, failure stage, retest, dan catatan anomali.</x:v>
      </x:c>
      <x:c r="D20" s="58" t="str">
        <x:v>Bukti lengkap dan dapat ditelusuri</x:v>
      </x:c>
      <x:c r="E20" s="58" t="str">
        <x:v>Sesudah uji</x:v>
      </x:c>
      <x:c r="F20" s="58" t="str">
        <x:v>Operator</x:v>
      </x:c>
      <x:c r="G20" s="58" t="str">
        <x:v>Belum</x:v>
      </x:c>
      <x:c r="H20" s="6"/>
    </x:row>
    <x:row r="21" ht="29.25">
      <x:c r="A21" s="59"/>
      <x:c r="B21" s="60"/>
      <x:c r="C21" s="57"/>
      <x:c r="D21" s="57"/>
      <x:c r="E21" s="57"/>
      <x:c r="F21" s="57"/>
      <x:c r="G21" s="57"/>
      <x:c r="H21" s="1"/>
    </x:row>
    <x:row r="22" ht="43.5">
      <x:c r="A22" s="71" t="str">
        <x:v>Dua acuan pengujian</x:v>
      </x:c>
      <x:c r="B22" s="72"/>
      <x:c r="C22" s="73"/>
      <x:c r="D22" s="73"/>
      <x:c r="E22" s="73"/>
      <x:c r="F22" s="73"/>
      <x:c r="G22" s="73"/>
      <x:c r="H22" s="1"/>
    </x:row>
    <x:row r="23">
      <x:c r="A23" s="57" t="str">
        <x:v>Rencana_Uji</x:v>
      </x:c>
      <x:c r="B23" s="57" t="str">
        <x:v>Test real-case operasional dengan acuan arsitektur/repository XZ-Manipulator-Controls.</x:v>
      </x:c>
      <x:c r="C23" s="57"/>
      <x:c r="D23" s="57"/>
      <x:c r="E23" s="57"/>
      <x:c r="F23" s="57"/>
      <x:c r="G23" s="57"/>
    </x:row>
    <x:row r="24">
      <x:c r="A24" s="57" t="str">
        <x:v>Uji_Proposal_TA</x:v>
      </x:c>
      <x:c r="B24" s="57" t="str">
        <x:v>Test formal proposal: dataset, model, komunikasi, integrasi, mekanik, keselamatan, kalibrasi koordinat, vacuum, waktu siklus, dan analisis kegagalan.</x:v>
      </x:c>
      <x:c r="C24" s="57"/>
      <x:c r="D24" s="57"/>
      <x:c r="E24" s="57"/>
      <x:c r="F24" s="57"/>
      <x:c r="G24" s="57"/>
    </x:row>
  </x:sheetData>
  <x:mergeCells>
    <x:mergeCell ref="A1:H1"/>
    <x:mergeCell ref="A20:H20"/>
  </x:mergeCells>
  <x:dataValidations count="1">
    <x:dataValidation type="list" sqref="G12:G20">
      <x:formula1>"Belum,PASS,FAIL,PARTIAL"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customWidth="1"/>
    <x:col min="2" max="2" width="15" customWidth="1"/>
    <x:col min="3" max="3" width="38" customWidth="1"/>
    <x:col min="4" max="4" width="30" customWidth="1"/>
    <x:col min="5" max="5" width="28" customWidth="1"/>
    <x:col min="6" max="6" width="32" customWidth="1"/>
    <x:col min="7" max="7" width="30" customWidth="1"/>
    <x:col min="8" max="8" width="20" customWidth="1"/>
    <x:col min="9" max="9" width="12" customWidth="1"/>
    <x:col min="10" max="10" width="24" customWidth="1"/>
  </x:cols>
  <x:sheetData>
    <x:row r="1">
      <x:c r="A1" s="9" t="s">
        <x:v>20</x:v>
      </x:c>
      <x:c r="B1" s="9" t="s">
        <x:v>21</x:v>
      </x:c>
      <x:c r="C1" s="9" t="s">
        <x:v>22</x:v>
      </x:c>
      <x:c r="D1" s="9" t="s">
        <x:v>23</x:v>
      </x:c>
      <x:c r="E1" s="9" t="s">
        <x:v>24</x:v>
      </x:c>
      <x:c r="F1" s="9" t="s">
        <x:v>25</x:v>
      </x:c>
      <x:c r="G1" s="9" t="s">
        <x:v>26</x:v>
      </x:c>
      <x:c r="H1" s="9" t="s">
        <x:v>27</x:v>
      </x:c>
      <x:c r="I1" s="9" t="s">
        <x:v>28</x:v>
      </x:c>
      <x:c r="J1" s="9" t="s">
        <x:v>29</x:v>
      </x:c>
    </x:row>
    <x:row r="2" ht="25.5">
      <x:c r="A2" s="10" t="s">
        <x:v>30</x:v>
      </x:c>
      <x:c r="B2" s="10" t="s">
        <x:v>31</x:v>
      </x:c>
      <x:c r="C2" s="10" t="s">
        <x:v>32</x:v>
      </x:c>
      <x:c r="D2" s="10" t="s">
        <x:v>33</x:v>
      </x:c>
      <x:c r="E2" s="10" t="s">
        <x:v>34</x:v>
      </x:c>
      <x:c r="F2" s="10" t="s">
        <x:v>35</x:v>
      </x:c>
      <x:c r="G2" s="10" t="s">
        <x:v>36</x:v>
      </x:c>
      <x:c r="H2" s="10" t="s">
        <x:v>37</x:v>
      </x:c>
      <x:c r="I2" s="10" t="s">
        <x:v>38</x:v>
      </x:c>
      <x:c r="J2" s="10"/>
    </x:row>
    <x:row r="3" ht="25.5">
      <x:c r="A3" s="10" t="s">
        <x:v>39</x:v>
      </x:c>
      <x:c r="B3" s="10" t="s">
        <x:v>31</x:v>
      </x:c>
      <x:c r="C3" s="10" t="s">
        <x:v>40</x:v>
      </x:c>
      <x:c r="D3" s="10" t="s">
        <x:v>41</x:v>
      </x:c>
      <x:c r="E3" s="10" t="s">
        <x:v>42</x:v>
      </x:c>
      <x:c r="F3" s="10" t="s">
        <x:v>43</x:v>
      </x:c>
      <x:c r="G3" s="10" t="s">
        <x:v>44</x:v>
      </x:c>
      <x:c r="H3" s="10" t="s">
        <x:v>45</x:v>
      </x:c>
      <x:c r="I3" s="10" t="s">
        <x:v>38</x:v>
      </x:c>
      <x:c r="J3" s="10"/>
    </x:row>
    <x:row r="4" ht="25.5">
      <x:c r="A4" s="10" t="s">
        <x:v>46</x:v>
      </x:c>
      <x:c r="B4" s="10" t="s">
        <x:v>47</x:v>
      </x:c>
      <x:c r="C4" s="10" t="s">
        <x:v>48</x:v>
      </x:c>
      <x:c r="D4" s="10" t="s">
        <x:v>49</x:v>
      </x:c>
      <x:c r="E4" s="10" t="s">
        <x:v>50</x:v>
      </x:c>
      <x:c r="F4" s="10" t="s">
        <x:v>51</x:v>
      </x:c>
      <x:c r="G4" s="10" t="s">
        <x:v>52</x:v>
      </x:c>
      <x:c r="H4" s="10" t="s">
        <x:v>53</x:v>
      </x:c>
      <x:c r="I4" s="10" t="s">
        <x:v>38</x:v>
      </x:c>
      <x:c r="J4" s="10"/>
    </x:row>
    <x:row r="5" ht="24" customHeight="1">
      <x:c r="A5" s="10" t="s">
        <x:v>54</x:v>
      </x:c>
      <x:c r="B5" s="10" t="s">
        <x:v>55</x:v>
      </x:c>
      <x:c r="C5" s="10" t="s">
        <x:v>56</x:v>
      </x:c>
      <x:c r="D5" s="10" t="s">
        <x:v>57</x:v>
      </x:c>
      <x:c r="E5" s="10" t="s">
        <x:v>58</x:v>
      </x:c>
      <x:c r="F5" s="10" t="s">
        <x:v>59</x:v>
      </x:c>
      <x:c r="G5" s="10" t="s">
        <x:v>60</x:v>
      </x:c>
      <x:c r="H5" s="10" t="s">
        <x:v>61</x:v>
      </x:c>
      <x:c r="I5" s="10" t="s">
        <x:v>38</x:v>
      </x:c>
      <x:c r="J5" s="10"/>
    </x:row>
    <x:row r="6" ht="27" customHeight="1">
      <x:c r="A6" s="10" t="s">
        <x:v>62</x:v>
      </x:c>
      <x:c r="B6" s="10" t="s">
        <x:v>55</x:v>
      </x:c>
      <x:c r="C6" s="10" t="s">
        <x:v>63</x:v>
      </x:c>
      <x:c r="D6" s="10" t="s">
        <x:v>64</x:v>
      </x:c>
      <x:c r="E6" s="10" t="s">
        <x:v>65</x:v>
      </x:c>
      <x:c r="F6" s="10" t="s">
        <x:v>66</x:v>
      </x:c>
      <x:c r="G6" s="10" t="s">
        <x:v>67</x:v>
      </x:c>
      <x:c r="H6" s="10" t="s">
        <x:v>68</x:v>
      </x:c>
      <x:c r="I6" s="10" t="s">
        <x:v>38</x:v>
      </x:c>
      <x:c r="J6" s="10"/>
    </x:row>
    <x:row r="7" ht="35.25" customHeight="1">
      <x:c r="A7" s="10" t="s">
        <x:v>69</x:v>
      </x:c>
      <x:c r="B7" s="10" t="s">
        <x:v>55</x:v>
      </x:c>
      <x:c r="C7" s="10" t="str">
        <x:v>Uji Elco Salah dan Bukan_Elco sebagai dua sub-skenario terpisah.</x:v>
      </x:c>
      <x:c r="D7" s="10" t="str">
        <x:v>Elco Salah; lalu objek Bukan_Elco (mis. kapasitor lain/fuse/obeng/casan).</x:v>
      </x:c>
      <x:c r="E7" s="10" t="str">
        <x:v>Actual class, predicted class, confidence</x:v>
      </x:c>
      <x:c r="F7" s="10" t="str">
        <x:v>Elco Salah dikenali sebagai Elco Salah; objek Bukan_Elco dikenali sebagai Bukan_Elco.</x:v>
      </x:c>
      <x:c r="G7" s="10" t="str">
        <x:v>Tidak ada pertukaran kelas kritis antara Elco Salah, Bukan_Elco, dan Elco Benar.</x:v>
      </x:c>
      <x:c r="H7" s="10" t="str">
        <x:v>Video + log</x:v>
      </x:c>
      <x:c r="I7" s="10" t="str">
        <x:v>Belum</x:v>
      </x:c>
      <x:c r="J7" s="10"/>
    </x:row>
    <x:row r="8" ht="44.25" customHeight="1">
      <x:c r="A8" s="10" t="s">
        <x:v>70</x:v>
      </x:c>
      <x:c r="B8" s="10" t="s">
        <x:v>55</x:v>
      </x:c>
      <x:c r="C8" s="10" t="s">
        <x:v>71</x:v>
      </x:c>
      <x:c r="D8" s="10" t="s">
        <x:v>72</x:v>
      </x:c>
      <x:c r="E8" s="10" t="s">
        <x:v>73</x:v>
      </x:c>
      <x:c r="F8" s="10" t="s">
        <x:v>74</x:v>
      </x:c>
      <x:c r="G8" s="10" t="s">
        <x:v>75</x:v>
      </x:c>
      <x:c r="H8" s="10" t="s">
        <x:v>68</x:v>
      </x:c>
      <x:c r="I8" s="10" t="s">
        <x:v>38</x:v>
      </x:c>
      <x:c r="J8" s="10"/>
    </x:row>
    <x:row r="9" ht="84" customHeight="1">
      <x:c r="A9" s="10" t="s">
        <x:v>76</x:v>
      </x:c>
      <x:c r="B9" s="10" t="s">
        <x:v>77</x:v>
      </x:c>
      <x:c r="C9" s="10" t="s">
        <x:v>78</x:v>
      </x:c>
      <x:c r="D9" s="10" t="s">
        <x:v>79</x:v>
      </x:c>
      <x:c r="E9" s="10" t="s">
        <x:v>80</x:v>
      </x:c>
      <x:c r="F9" s="10" t="s">
        <x:v>81</x:v>
      </x:c>
      <x:c r="G9" s="10" t="s">
        <x:v>82</x:v>
      </x:c>
      <x:c r="H9" s="10" t="s">
        <x:v>68</x:v>
      </x:c>
      <x:c r="I9" s="10" t="s">
        <x:v>38</x:v>
      </x:c>
      <x:c r="J9" s="10"/>
    </x:row>
    <x:row r="10" ht="43.5" customHeight="1">
      <x:c r="A10" s="10" t="s">
        <x:v>83</x:v>
      </x:c>
      <x:c r="B10" s="10" t="s">
        <x:v>77</x:v>
      </x:c>
      <x:c r="C10" s="10" t="str">
        <x:v>Jalankan belt dengan Elco Salah dan Bukan_Elco sebagai dua sub-skenario.</x:v>
      </x:c>
      <x:c r="D10" s="10" t="str">
        <x:v>Elco Salah bergerak; kemudian objek Bukan_Elco bergerak.</x:v>
      </x:c>
      <x:c r="E10" s="10" t="str">
        <x:v>Kelas, confidence, posisi, object ID/tracking</x:v>
      </x:c>
      <x:c r="F10" s="10" t="str">
        <x:v>Masing-masing objek tetap berada pada kelas yang benar saat bergerak.</x:v>
      </x:c>
      <x:c r="G10" s="10" t="str">
        <x:v>Tidak tertukar antar kelas dan tidak terjadi duplicate event.</x:v>
      </x:c>
      <x:c r="H10" s="10" t="str">
        <x:v>Video + log</x:v>
      </x:c>
      <x:c r="I10" s="10" t="str">
        <x:v>Belum</x:v>
      </x:c>
      <x:c r="J10" s="10"/>
    </x:row>
    <x:row r="11" ht="42" customHeight="1">
      <x:c r="A11" s="10" t="s">
        <x:v>84</x:v>
      </x:c>
      <x:c r="B11" s="10" t="s">
        <x:v>77</x:v>
      </x:c>
      <x:c r="C11" s="10" t="s">
        <x:v>85</x:v>
      </x:c>
      <x:c r="D11" s="10" t="s">
        <x:v>86</x:v>
      </x:c>
      <x:c r="E11" s="10" t="s">
        <x:v>87</x:v>
      </x:c>
      <x:c r="F11" s="10" t="s">
        <x:v>88</x:v>
      </x:c>
      <x:c r="G11" s="10" t="s">
        <x:v>89</x:v>
      </x:c>
      <x:c r="H11" s="10" t="s">
        <x:v>68</x:v>
      </x:c>
      <x:c r="I11" s="10" t="s">
        <x:v>38</x:v>
      </x:c>
      <x:c r="J11" s="10"/>
    </x:row>
    <x:row r="12" ht="45.75" customHeight="1">
      <x:c r="A12" s="10" t="s">
        <x:v>90</x:v>
      </x:c>
      <x:c r="B12" s="10" t="s">
        <x:v>77</x:v>
      </x:c>
      <x:c r="C12" s="10" t="s">
        <x:v>91</x:v>
      </x:c>
      <x:c r="D12" s="10" t="s">
        <x:v>92</x:v>
      </x:c>
      <x:c r="E12" s="10" t="s">
        <x:v>93</x:v>
      </x:c>
      <x:c r="F12" s="10" t="s">
        <x:v>94</x:v>
      </x:c>
      <x:c r="G12" s="10" t="s">
        <x:v>95</x:v>
      </x:c>
      <x:c r="H12" s="10" t="s">
        <x:v>68</x:v>
      </x:c>
      <x:c r="I12" s="10" t="s">
        <x:v>38</x:v>
      </x:c>
      <x:c r="J12" s="10"/>
    </x:row>
    <x:row r="13" ht="62.25" customHeight="1">
      <x:c r="A13" s="10" t="s">
        <x:v>96</x:v>
      </x:c>
      <x:c r="B13" s="10" t="s">
        <x:v>97</x:v>
      </x:c>
      <x:c r="C13" s="10" t="s">
        <x:v>98</x:v>
      </x:c>
      <x:c r="D13" s="10" t="s">
        <x:v>99</x:v>
      </x:c>
      <x:c r="E13" s="10" t="s">
        <x:v>100</x:v>
      </x:c>
      <x:c r="F13" s="10" t="s">
        <x:v>101</x:v>
      </x:c>
      <x:c r="G13" s="10" t="s">
        <x:v>102</x:v>
      </x:c>
      <x:c r="H13" s="10" t="s">
        <x:v>103</x:v>
      </x:c>
      <x:c r="I13" s="10" t="s">
        <x:v>38</x:v>
      </x:c>
      <x:c r="J13" s="10"/>
    </x:row>
    <x:row r="14" ht="25.5">
      <x:c r="A14" s="10" t="s">
        <x:v>104</x:v>
      </x:c>
      <x:c r="B14" s="10" t="s">
        <x:v>97</x:v>
      </x:c>
      <x:c r="C14" s="10" t="str">
        <x:v>Uji respons manipulator terhadap Elco Salah, Bukan_Elco, dan belt kosong secara terpisah.</x:v>
      </x:c>
      <x:c r="D14" s="10" t="str">
        <x:v>Tiga kondisi: Elco Salah; Bukan_Elco; Null/belt kosong.</x:v>
      </x:c>
      <x:c r="E14" s="10" t="str">
        <x:v>Aksi yang dipilih, pickup, koreksi, placement</x:v>
      </x:c>
      <x:c r="F14" s="10" t="str">
        <x:v>Aksi sesuai rule tiap kondisi; belt kosong tidak memicu pickup.</x:v>
      </x:c>
      <x:c r="G14" s="10" t="str">
        <x:v>Tidak ada pickup/koreksi/placement yang salah akibat kelas tertukar.</x:v>
      </x:c>
      <x:c r="H14" s="10" t="str">
        <x:v>Video + log kontrol</x:v>
      </x:c>
      <x:c r="I14" s="10" t="str">
        <x:v>Belum</x:v>
      </x:c>
      <x:c r="J14" s="10"/>
    </x:row>
    <x:row r="15" ht="30.75" customHeight="1">
      <x:c r="A15" s="10" t="s">
        <x:v>105</x:v>
      </x:c>
      <x:c r="B15" s="10" t="s">
        <x:v>97</x:v>
      </x:c>
      <x:c r="C15" s="10" t="s">
        <x:v>106</x:v>
      </x:c>
      <x:c r="D15" s="10" t="s">
        <x:v>72</x:v>
      </x:c>
      <x:c r="E15" s="10" t="s">
        <x:v>107</x:v>
      </x:c>
      <x:c r="F15" s="10" t="s">
        <x:v>108</x:v>
      </x:c>
      <x:c r="G15" s="10" t="s">
        <x:v>109</x:v>
      </x:c>
      <x:c r="H15" s="10" t="s">
        <x:v>68</x:v>
      </x:c>
      <x:c r="I15" s="10" t="s">
        <x:v>38</x:v>
      </x:c>
      <x:c r="J15" s="10"/>
    </x:row>
    <x:row r="16" ht="36.75" customHeight="1">
      <x:c r="A16" s="10" t="s">
        <x:v>110</x:v>
      </x:c>
      <x:c r="B16" s="10" t="s">
        <x:v>111</x:v>
      </x:c>
      <x:c r="C16" s="10" t="s">
        <x:v>112</x:v>
      </x:c>
      <x:c r="D16" s="10" t="s">
        <x:v>113</x:v>
      </x:c>
      <x:c r="E16" s="10" t="s">
        <x:v>114</x:v>
      </x:c>
      <x:c r="F16" s="10" t="s">
        <x:v>115</x:v>
      </x:c>
      <x:c r="G16" s="10" t="s">
        <x:v>116</x:v>
      </x:c>
      <x:c r="H16" s="10" t="s">
        <x:v>68</x:v>
      </x:c>
      <x:c r="I16" s="10" t="s">
        <x:v>38</x:v>
      </x:c>
      <x:c r="J16" s="10"/>
    </x:row>
    <x:row r="17" ht="34.5" customHeight="1">
      <x:c r="A17" s="10" t="s">
        <x:v>117</x:v>
      </x:c>
      <x:c r="B17" s="10" t="s">
        <x:v>111</x:v>
      </x:c>
      <x:c r="C17" s="10" t="s">
        <x:v>118</x:v>
      </x:c>
      <x:c r="D17" s="10" t="s">
        <x:v>119</x:v>
      </x:c>
      <x:c r="E17" s="10" t="s">
        <x:v>120</x:v>
      </x:c>
      <x:c r="F17" s="10" t="s">
        <x:v>121</x:v>
      </x:c>
      <x:c r="G17" s="10" t="s">
        <x:v>122</x:v>
      </x:c>
      <x:c r="H17" s="10" t="s">
        <x:v>68</x:v>
      </x:c>
      <x:c r="I17" s="10" t="s">
        <x:v>38</x:v>
      </x:c>
      <x:c r="J17" s="10"/>
    </x:row>
    <x:row r="18" ht="47.25" customHeight="1">
      <x:c r="A18" s="10" t="s">
        <x:v>123</x:v>
      </x:c>
      <x:c r="B18" s="10" t="s">
        <x:v>124</x:v>
      </x:c>
      <x:c r="C18" s="10" t="s">
        <x:v>125</x:v>
      </x:c>
      <x:c r="D18" s="10" t="s">
        <x:v>126</x:v>
      </x:c>
      <x:c r="E18" s="10" t="s">
        <x:v>127</x:v>
      </x:c>
      <x:c r="F18" s="10" t="s">
        <x:v>128</x:v>
      </x:c>
      <x:c r="G18" s="10" t="s">
        <x:v>129</x:v>
      </x:c>
      <x:c r="H18" s="10" t="s">
        <x:v>68</x:v>
      </x:c>
      <x:c r="I18" s="10" t="s">
        <x:v>38</x:v>
      </x:c>
      <x:c r="J18" s="10"/>
    </x:row>
    <x:row r="19" ht="39.75" customHeight="1">
      <x:c r="A19" s="10" t="s">
        <x:v>130</x:v>
      </x:c>
      <x:c r="B19" s="10" t="s">
        <x:v>124</x:v>
      </x:c>
      <x:c r="C19" s="10" t="s">
        <x:v>131</x:v>
      </x:c>
      <x:c r="D19" s="10" t="s">
        <x:v>132</x:v>
      </x:c>
      <x:c r="E19" s="10" t="s">
        <x:v>133</x:v>
      </x:c>
      <x:c r="F19" s="10" t="s">
        <x:v>134</x:v>
      </x:c>
      <x:c r="G19" s="10" t="s">
        <x:v>135</x:v>
      </x:c>
      <x:c r="H19" s="10" t="s">
        <x:v>136</x:v>
      </x:c>
      <x:c r="I19" s="10" t="s">
        <x:v>38</x:v>
      </x:c>
      <x:c r="J19" s="10"/>
    </x:row>
    <x:row r="20" ht="38.25" customHeight="1">
      <x:c r="A20" s="10" t="s">
        <x:v>137</x:v>
      </x:c>
      <x:c r="B20" s="10" t="s">
        <x:v>138</x:v>
      </x:c>
      <x:c r="C20" s="10" t="s">
        <x:v>139</x:v>
      </x:c>
      <x:c r="D20" s="10" t="s">
        <x:v>140</x:v>
      </x:c>
      <x:c r="E20" s="10" t="s">
        <x:v>141</x:v>
      </x:c>
      <x:c r="F20" s="10" t="s">
        <x:v>142</x:v>
      </x:c>
      <x:c r="G20" s="10" t="s">
        <x:v>143</x:v>
      </x:c>
      <x:c r="H20" s="10" t="s">
        <x:v>144</x:v>
      </x:c>
      <x:c r="I20" s="10" t="s">
        <x:v>38</x:v>
      </x:c>
      <x:c r="J20" s="10"/>
    </x:row>
    <x:row r="21" ht="33.75" customHeight="1">
      <x:c r="A21" s="10" t="s">
        <x:v>145</x:v>
      </x:c>
      <x:c r="B21" s="10" t="s">
        <x:v>138</x:v>
      </x:c>
      <x:c r="C21" s="10" t="s">
        <x:v>146</x:v>
      </x:c>
      <x:c r="D21" s="10" t="s">
        <x:v>147</x:v>
      </x:c>
      <x:c r="E21" s="10" t="s">
        <x:v>148</x:v>
      </x:c>
      <x:c r="F21" s="10" t="s">
        <x:v>149</x:v>
      </x:c>
      <x:c r="G21" s="10" t="s">
        <x:v>150</x:v>
      </x:c>
      <x:c r="H21" s="10" t="s">
        <x:v>151</x:v>
      </x:c>
      <x:c r="I21" s="10" t="s">
        <x:v>38</x:v>
      </x:c>
      <x:c r="J21" s="10"/>
    </x:row>
    <x:row r="22" ht="67.5" customHeight="1">
      <x:c r="A22" s="11" t="s">
        <x:v>152</x:v>
      </x:c>
      <x:c r="B22" s="11" t="str">
        <x:v>Gate - VisionSystem</x:v>
      </x:c>
      <x:c r="C22" s="11" t="s">
        <x:v>153</x:v>
      </x:c>
      <x:c r="D22" s="11" t="s">
        <x:v>154</x:v>
      </x:c>
      <x:c r="E22" s="11" t="s">
        <x:v>155</x:v>
      </x:c>
      <x:c r="F22" s="11" t="s">
        <x:v>156</x:v>
      </x:c>
      <x:c r="G22" s="11" t="s">
        <x:v>157</x:v>
      </x:c>
      <x:c r="H22" s="11" t="s">
        <x:v>158</x:v>
      </x:c>
      <x:c r="I22" s="11" t="s">
        <x:v>38</x:v>
      </x:c>
      <x:c r="J22" s="11"/>
    </x:row>
    <x:row r="23" ht="57.95000076293945" customHeight="1">
      <x:c r="A23" s="11" t="s">
        <x:v>159</x:v>
      </x:c>
      <x:c r="B23" s="11" t="str">
        <x:v>Gate - Telemetry</x:v>
      </x:c>
      <x:c r="C23" s="11" t="s">
        <x:v>160</x:v>
      </x:c>
      <x:c r="D23" s="11" t="s">
        <x:v>161</x:v>
      </x:c>
      <x:c r="E23" s="11" t="s">
        <x:v>162</x:v>
      </x:c>
      <x:c r="F23" s="11" t="s">
        <x:v>163</x:v>
      </x:c>
      <x:c r="G23" s="11" t="s">
        <x:v>164</x:v>
      </x:c>
      <x:c r="H23" s="11" t="s">
        <x:v>165</x:v>
      </x:c>
      <x:c r="I23" s="11" t="s">
        <x:v>38</x:v>
      </x:c>
      <x:c r="J23" s="11"/>
    </x:row>
    <x:row r="24" ht="57.95000076293945" customHeight="1">
      <x:c r="A24" s="11" t="s">
        <x:v>166</x:v>
      </x:c>
      <x:c r="B24" s="11" t="str">
        <x:v>Gate - Tracking</x:v>
      </x:c>
      <x:c r="C24" s="11" t="s">
        <x:v>167</x:v>
      </x:c>
      <x:c r="D24" s="11" t="s">
        <x:v>168</x:v>
      </x:c>
      <x:c r="E24" s="11" t="s">
        <x:v>169</x:v>
      </x:c>
      <x:c r="F24" s="11" t="s">
        <x:v>170</x:v>
      </x:c>
      <x:c r="G24" s="11" t="s">
        <x:v>171</x:v>
      </x:c>
      <x:c r="H24" s="11" t="s">
        <x:v>172</x:v>
      </x:c>
      <x:c r="I24" s="11" t="s">
        <x:v>38</x:v>
      </x:c>
      <x:c r="J24" s="11"/>
    </x:row>
    <x:row r="25" ht="57.95000076293945" customHeight="1">
      <x:c r="A25" s="11" t="s">
        <x:v>173</x:v>
      </x:c>
      <x:c r="B25" s="11" t="str">
        <x:v>Gate - Firmware</x:v>
      </x:c>
      <x:c r="C25" s="11" t="s">
        <x:v>174</x:v>
      </x:c>
      <x:c r="D25" s="11" t="s">
        <x:v>175</x:v>
      </x:c>
      <x:c r="E25" s="11" t="s">
        <x:v>176</x:v>
      </x:c>
      <x:c r="F25" s="11" t="s">
        <x:v>177</x:v>
      </x:c>
      <x:c r="G25" s="11" t="s">
        <x:v>178</x:v>
      </x:c>
      <x:c r="H25" s="11" t="s">
        <x:v>179</x:v>
      </x:c>
      <x:c r="I25" s="11" t="s">
        <x:v>38</x:v>
      </x:c>
      <x:c r="J25" s="11"/>
    </x:row>
    <x:row r="26" ht="57.95000076293945" customHeight="1">
      <x:c r="A26" s="11" t="s">
        <x:v>180</x:v>
      </x:c>
      <x:c r="B26" s="11" t="str">
        <x:v>Gate - Verification</x:v>
      </x:c>
      <x:c r="C26" s="11" t="s">
        <x:v>181</x:v>
      </x:c>
      <x:c r="D26" s="11" t="s">
        <x:v>182</x:v>
      </x:c>
      <x:c r="E26" s="11" t="s">
        <x:v>183</x:v>
      </x:c>
      <x:c r="F26" s="11" t="s">
        <x:v>184</x:v>
      </x:c>
      <x:c r="G26" s="11" t="s">
        <x:v>185</x:v>
      </x:c>
      <x:c r="H26" s="11" t="s">
        <x:v>186</x:v>
      </x:c>
      <x:c r="I26" s="11" t="s">
        <x:v>38</x:v>
      </x:c>
      <x:c r="J26" s="11"/>
    </x:row>
    <x:row r="27">
      <x:c r="A27" s="80" t="str">
        <x:v>RC-26</x:v>
      </x:c>
      <x:c r="B27" s="81" t="str">
        <x:v>Kalibrasi koordinat</x:v>
      </x:c>
      <x:c r="C27" s="81" t="str">
        <x:v>Uji akurasi mapping kamera/pixel ke koordinat fisik konveyor.</x:v>
      </x:c>
      <x:c r="D27" s="81" t="str">
        <x:v>Objek diletakkan pada beberapa titik referensi kiri/tengah/kanan dan dekat/jauh di ROI.</x:v>
      </x:c>
      <x:c r="E27" s="81" t="str">
        <x:v>X/Y aktual; X/Y vision/telemetry; error X/Y</x:v>
      </x:c>
      <x:c r="F27" s="81" t="str">
        <x:v>Koordinat vision mengikuti posisi fisik secara konsisten di seluruh ROI.</x:v>
      </x:c>
      <x:c r="G27" s="81" t="str">
        <x:v>Toleransi koordinat ditetapkan sebelum uji; seluruh titik memenuhi toleransi pickup yang disepakati.</x:v>
      </x:c>
      <x:c r="H27" s="81" t="str">
        <x:v>Tabel koordinat + foto/grid kalibrasi</x:v>
      </x:c>
      <x:c r="I27" s="81" t="str">
        <x:v>Belum</x:v>
      </x:c>
      <x:c r="J27" s="82" t="str">
        <x:v>Memisahkan error vision/mapping dari error mekanik.</x:v>
      </x:c>
    </x:row>
    <x:row r="28">
      <x:c r="A28" s="83" t="str">
        <x:v>RC-27</x:v>
      </x:c>
      <x:c r="B28" s="57" t="str">
        <x:v>Vacuum gripper</x:v>
      </x:c>
      <x:c r="C28" s="57" t="str">
        <x:v>Uji reliability pickup, hold, transfer, dan release vacuum.</x:v>
      </x:c>
      <x:c r="D28" s="57" t="str">
        <x:v>Elco pada posisi kiri/tengah/kanan; kondisi permukaan normal.</x:v>
      </x:c>
      <x:c r="E28" s="57" t="str">
        <x:v>Pickup success; objek jatuh/tidak; release success; jumlah percobaan</x:v>
      </x:c>
      <x:c r="F28" s="57" t="str">
        <x:v>Vacuum mampu mengambil, menahan selama perpindahan, dan melepas objek secara konsisten.</x:v>
      </x:c>
      <x:c r="G28" s="57" t="str">
        <x:v>Minimal 10 siklus per posisi; seluruh kegagalan dicatat dan dianalisis.</x:v>
      </x:c>
      <x:c r="H28" s="57" t="str">
        <x:v>Video + tabel pickup/release</x:v>
      </x:c>
      <x:c r="I28" s="57" t="str">
        <x:v>Belum</x:v>
      </x:c>
      <x:c r="J28" s="84" t="str">
        <x:v>Tambahan engineering agar failure end-to-end dapat dilokalisasi.</x:v>
      </x:c>
    </x:row>
    <x:row r="29">
      <x:c r="A29" s="85" t="str">
        <x:v>RC-28</x:v>
      </x:c>
      <x:c r="B29" s="86" t="str">
        <x:v>Generalisasi fisik</x:v>
      </x:c>
      <x:c r="C29" s="86" t="str">
        <x:v>Uji unit fisik baru yang tidak pernah masuk train/validation.</x:v>
      </x:c>
      <x:c r="D29" s="86" t="str">
        <x:v>Kapasitor baru; variasi ukuran/warna jika tersedia; sudut/posisi/gerak realistis.</x:v>
      </x:c>
      <x:c r="E29" s="86" t="str">
        <x:v>Actual class; predicted class; confidence; miss; false positive</x:v>
      </x:c>
      <x:c r="F29" s="86" t="str">
        <x:v>Model tetap mengenali kelas pada unit fisik baru, bukan hanya unit yang pernah direkam.</x:v>
      </x:c>
      <x:c r="G29" s="86" t="str">
        <x:v>Unit sumber uji tidak pernah dipakai pada train/validation; seluruh hasil dicatat per unit fisik.</x:v>
      </x:c>
      <x:c r="H29" s="86" t="str">
        <x:v>Video/frame uji + log</x:v>
      </x:c>
      <x:c r="I29" s="86" t="str">
        <x:v>Belum</x:v>
      </x:c>
      <x:c r="J29" s="87" t="str">
        <x:v>Prioritaskan unit baru untuk membuktikan generalisasi.</x:v>
      </x:c>
    </x:row>
  </x:sheetData>
  <x:conditionalFormatting sqref="I2:I26">
    <x:cfRule type="containsText" dxfId="7" priority="1" operator="containsText" text="PASS"/>
    <x:cfRule type="containsText" dxfId="6" priority="2" operator="containsText" text="FAIL"/>
  </x:conditionalFormatting>
  <x:conditionalFormatting sqref="I22:I26">
    <x:cfRule type="containsText" dxfId="5" priority="5" operator="containsText" text="PASS"/>
    <x:cfRule type="containsText" dxfId="4" priority="6" operator="containsText" text="FAIL"/>
  </x:conditionalFormatting>
  <x:conditionalFormatting sqref="I2:I29">
    <x:cfRule type="expression" dxfId="8" priority="7">
      <x:formula>I2="PASS"</x:formula>
    </x:cfRule>
    <x:cfRule type="expression" dxfId="9" priority="8">
      <x:formula>I2="FAIL"</x:formula>
    </x:cfRule>
    <x:cfRule type="expression" dxfId="10" priority="9">
      <x:formula>I2="PARTIAL"</x:formula>
    </x:cfRule>
  </x:conditionalFormatting>
  <x:dataValidations count="2">
    <x:dataValidation type="list" sqref="I2:I26">
      <x:formula1>"Belum,Berjalan,PASS,FAIL,N/A"</x:formula1>
    </x:dataValidation>
    <x:dataValidation type="list" sqref="I2:I29">
      <x:formula1>"Belum,PASS,FAIL,PARTIAL"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  <x:col min="1" max="1" width="12" hidden="0" customWidth="1"/>
    <x:col min="2" max="2" width="12" hidden="0" customWidth="1"/>
    <x:col min="3" max="3" width="8" hidden="0" customWidth="1"/>
    <x:col min="4" max="4" width="26" hidden="0" customWidth="1"/>
    <x:col min="5" max="5" width="14" hidden="0" customWidth="1"/>
    <x:col min="6" max="6" width="18" hidden="0" customWidth="1"/>
    <x:col min="7" max="7" width="18" hidden="0" customWidth="1"/>
    <x:col min="8" max="8" width="13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20" hidden="0" customWidth="1"/>
    <x:col min="14" max="14" width="13" hidden="0" customWidth="1"/>
    <x:col min="15" max="15" width="14" hidden="0" customWidth="1"/>
    <x:col min="16" max="16" width="20" hidden="0" customWidth="1"/>
    <x:col min="17" max="17" width="13" hidden="0" customWidth="1"/>
    <x:col min="18" max="18" width="15" hidden="0" customWidth="1"/>
    <x:col min="19" max="19" width="11" hidden="0" customWidth="1"/>
    <x:col min="20" max="20" width="18" hidden="0" customWidth="1"/>
    <x:col min="21" max="21" width="11" hidden="0" customWidth="1"/>
    <x:col min="22" max="22" width="14" hidden="0" customWidth="1"/>
    <x:col min="23" max="23" width="13" hidden="0" customWidth="1"/>
    <x:col min="24" max="24" width="12" hidden="0" customWidth="1"/>
    <x:col min="25" max="25" width="12" hidden="0" customWidth="1"/>
    <x:col min="26" max="26" width="14" hidden="0" customWidth="1"/>
    <x:col min="27" max="27" width="18" hidden="0" customWidth="1"/>
    <x:col min="28" max="28" width="12" hidden="0" customWidth="1"/>
    <x:col min="29" max="29" width="12" hidden="0" customWidth="1"/>
    <x:col min="30" max="30" width="34" hidden="0" customWidth="1"/>
  </x:cols>
  <x:sheetData>
    <x:row r="1" ht="34" customHeight="1">
      <x:c r="A1" s="119" t="str">
        <x:v>Tanggal</x:v>
      </x:c>
      <x:c r="B1" s="119" t="str">
        <x:v>ID Skenario</x:v>
      </x:c>
      <x:c r="C1" s="119" t="str">
        <x:v>Run Ke-</x:v>
      </x:c>
      <x:c r="D1" s="119" t="str">
        <x:v>Nama File Bukti</x:v>
      </x:c>
      <x:c r="E1" s="119" t="str">
        <x:v>Unit/Objek ID</x:v>
      </x:c>
      <x:c r="F1" s="119" t="str">
        <x:v>Actual Class</x:v>
      </x:c>
      <x:c r="G1" s="119" t="str">
        <x:v>Predicted Class</x:v>
      </x:c>
      <x:c r="H1" s="119" t="str">
        <x:v>Confidence (%)</x:v>
      </x:c>
      <x:c r="I1" s="119" t="str">
        <x:v>Actual Angle (°)</x:v>
      </x:c>
      <x:c r="J1" s="119" t="str">
        <x:v>Predicted Angle (°)</x:v>
      </x:c>
      <x:c r="K1" s="119" t="str">
        <x:v>Angle Error (°)</x:v>
      </x:c>
      <x:c r="L1" s="119" t="str">
        <x:v>X Aktual (mm)</x:v>
      </x:c>
      <x:c r="M1" s="120" t="str">
        <x:v>X Vision/Telemetry (mm)</x:v>
      </x:c>
      <x:c r="N1" s="120" t="str">
        <x:v>Error X (mm)</x:v>
      </x:c>
      <x:c r="O1" s="120" t="str">
        <x:v>Y Aktual (mm)</x:v>
      </x:c>
      <x:c r="P1" s="120" t="str">
        <x:v>Y Vision/Telemetry (mm)</x:v>
      </x:c>
      <x:c r="Q1" s="120" t="str">
        <x:v>Error Y (mm)</x:v>
      </x:c>
      <x:c r="R1" s="120" t="str">
        <x:v>Kecepatan Belt</x:v>
      </x:c>
      <x:c r="S1" s="120" t="str">
        <x:v>FPS Aktual</x:v>
      </x:c>
      <x:c r="T1" s="120" t="str">
        <x:v>Waktu Inferensi (ms)</x:v>
      </x:c>
      <x:c r="U1" s="120" t="str">
        <x:v>PLC Stop</x:v>
      </x:c>
      <x:c r="V1" s="120" t="str">
        <x:v>Pickup Vacuum</x:v>
      </x:c>
      <x:c r="W1" s="120" t="str">
        <x:v>Reorientasi</x:v>
      </x:c>
      <x:c r="X1" s="120" t="str">
        <x:v>Placement</x:v>
      </x:c>
      <x:c r="Y1" s="120" t="str">
        <x:v>PLC Resume</x:v>
      </x:c>
      <x:c r="Z1" s="120" t="str">
        <x:v>Cycle Time (s)</x:v>
      </x:c>
      <x:c r="AA1" s="120" t="str">
        <x:v>Failure Stage</x:v>
      </x:c>
      <x:c r="AB1" s="120" t="str">
        <x:v>PASS/FAIL</x:v>
      </x:c>
      <x:c r="AC1" s="120" t="str">
        <x:v>Retest ID</x:v>
      </x:c>
      <x:c r="AD1" s="120" t="str">
        <x:v>Catatan</x:v>
      </x:c>
    </x:row>
    <x:row r="2" ht="15" customHeight="1">
      <x:c r="A2" s="121"/>
      <x:c r="B2" s="121"/>
      <x:c r="C2" s="121" t="n">
        <x:v>1</x:v>
      </x:c>
      <x:c r="D2" s="121"/>
      <x:c r="E2" s="121"/>
      <x:c r="F2" s="121"/>
      <x:c r="G2" s="121"/>
      <x:c r="H2" s="121"/>
      <x:c r="I2" s="121"/>
      <x:c r="J2" s="121"/>
      <x:c r="K2" s="121" t="str">
        <x:f>IF(OR(I2="",J2=""),"",ABS(I2-J2))</x:f>
      </x:c>
      <x:c r="L2" s="121"/>
      <x:c r="M2" s="57"/>
      <x:c r="N2" s="57" t="str">
        <x:f>IF(OR(L2="",M2=""),"",ABS(L2-M2))</x:f>
      </x:c>
      <x:c r="O2" s="57"/>
      <x:c r="P2" s="57"/>
      <x:c r="Q2" s="57" t="str">
        <x:f>IF(OR(O2="",P2=""),"",ABS(O2-P2))</x:f>
      </x:c>
      <x:c r="R2" s="57"/>
      <x:c r="S2" s="57"/>
      <x:c r="T2" s="57"/>
      <x:c r="U2" s="57"/>
      <x:c r="V2" s="57"/>
      <x:c r="W2" s="57"/>
      <x:c r="X2" s="57"/>
      <x:c r="Y2" s="57"/>
      <x:c r="Z2" s="57"/>
      <x:c r="AA2" s="57"/>
      <x:c r="AB2" s="57"/>
      <x:c r="AC2" s="57"/>
      <x:c r="AD2" s="57"/>
    </x:row>
    <x:row r="3" ht="15" customHeight="1">
      <x:c r="A3" s="121"/>
      <x:c r="B3" s="121"/>
      <x:c r="C3" s="121" t="n">
        <x:v>2</x:v>
      </x:c>
      <x:c r="D3" s="121"/>
      <x:c r="E3" s="121"/>
      <x:c r="F3" s="121"/>
      <x:c r="G3" s="121"/>
      <x:c r="H3" s="121"/>
      <x:c r="I3" s="121"/>
      <x:c r="J3" s="121"/>
      <x:c r="K3" s="121" t="str">
        <x:f>IF(OR(I3="",J3=""),"",ABS(I3-J3))</x:f>
      </x:c>
      <x:c r="L3" s="121"/>
      <x:c r="M3" s="57"/>
      <x:c r="N3" s="57" t="str">
        <x:f>IF(OR(L3="",M3=""),"",ABS(L3-M3))</x:f>
      </x:c>
      <x:c r="O3" s="57"/>
      <x:c r="P3" s="57"/>
      <x:c r="Q3" s="57" t="str">
        <x:f>IF(OR(O3="",P3=""),"",ABS(O3-P3))</x:f>
      </x:c>
      <x:c r="R3" s="57"/>
      <x:c r="S3" s="57"/>
      <x:c r="T3" s="57"/>
      <x:c r="U3" s="57"/>
      <x:c r="V3" s="57"/>
      <x:c r="W3" s="57"/>
      <x:c r="X3" s="57"/>
      <x:c r="Y3" s="57"/>
      <x:c r="Z3" s="57"/>
      <x:c r="AA3" s="57"/>
      <x:c r="AB3" s="57"/>
      <x:c r="AC3" s="57"/>
      <x:c r="AD3" s="57"/>
    </x:row>
    <x:row r="4" ht="15" customHeight="1">
      <x:c r="A4" s="121"/>
      <x:c r="B4" s="121"/>
      <x:c r="C4" s="121" t="n">
        <x:v>3</x:v>
      </x:c>
      <x:c r="D4" s="121"/>
      <x:c r="E4" s="121"/>
      <x:c r="F4" s="121"/>
      <x:c r="G4" s="121"/>
      <x:c r="H4" s="121"/>
      <x:c r="I4" s="121"/>
      <x:c r="J4" s="121"/>
      <x:c r="K4" s="121" t="str">
        <x:f>IF(OR(I4="",J4=""),"",ABS(I4-J4))</x:f>
      </x:c>
      <x:c r="L4" s="121"/>
      <x:c r="M4" s="57"/>
      <x:c r="N4" s="57" t="str">
        <x:f>IF(OR(L4="",M4=""),"",ABS(L4-M4))</x:f>
      </x:c>
      <x:c r="O4" s="57"/>
      <x:c r="P4" s="57"/>
      <x:c r="Q4" s="57" t="str">
        <x:f>IF(OR(O4="",P4=""),"",ABS(O4-P4))</x:f>
      </x:c>
      <x:c r="R4" s="57"/>
      <x:c r="S4" s="57"/>
      <x:c r="T4" s="57"/>
      <x:c r="U4" s="57"/>
      <x:c r="V4" s="57"/>
      <x:c r="W4" s="57"/>
      <x:c r="X4" s="57"/>
      <x:c r="Y4" s="57"/>
      <x:c r="Z4" s="57"/>
      <x:c r="AA4" s="57"/>
      <x:c r="AB4" s="57"/>
      <x:c r="AC4" s="57"/>
      <x:c r="AD4" s="57"/>
    </x:row>
    <x:row r="5" ht="15" customHeight="1">
      <x:c r="A5" s="121"/>
      <x:c r="B5" s="121"/>
      <x:c r="C5" s="121" t="n">
        <x:v>4</x:v>
      </x:c>
      <x:c r="D5" s="121"/>
      <x:c r="E5" s="121"/>
      <x:c r="F5" s="121"/>
      <x:c r="G5" s="121"/>
      <x:c r="H5" s="121"/>
      <x:c r="I5" s="121"/>
      <x:c r="J5" s="121"/>
      <x:c r="K5" s="121" t="str">
        <x:f>IF(OR(I5="",J5=""),"",ABS(I5-J5))</x:f>
      </x:c>
      <x:c r="L5" s="121"/>
      <x:c r="M5" s="57"/>
      <x:c r="N5" s="57" t="str">
        <x:f>IF(OR(L5="",M5=""),"",ABS(L5-M5))</x:f>
      </x:c>
      <x:c r="O5" s="57"/>
      <x:c r="P5" s="57"/>
      <x:c r="Q5" s="57" t="str">
        <x:f>IF(OR(O5="",P5=""),"",ABS(O5-P5))</x:f>
      </x:c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7"/>
      <x:c r="AD5" s="57"/>
    </x:row>
    <x:row r="6" ht="15" customHeight="1">
      <x:c r="A6" s="121"/>
      <x:c r="B6" s="121"/>
      <x:c r="C6" s="121" t="n">
        <x:v>5</x:v>
      </x:c>
      <x:c r="D6" s="121"/>
      <x:c r="E6" s="121"/>
      <x:c r="F6" s="121"/>
      <x:c r="G6" s="121"/>
      <x:c r="H6" s="121"/>
      <x:c r="I6" s="121"/>
      <x:c r="J6" s="121"/>
      <x:c r="K6" s="121" t="str">
        <x:f>IF(OR(I6="",J6=""),"",ABS(I6-J6))</x:f>
      </x:c>
      <x:c r="L6" s="121"/>
      <x:c r="M6" s="57"/>
      <x:c r="N6" s="57" t="str">
        <x:f>IF(OR(L6="",M6=""),"",ABS(L6-M6))</x:f>
      </x:c>
      <x:c r="O6" s="57"/>
      <x:c r="P6" s="57"/>
      <x:c r="Q6" s="57" t="str">
        <x:f>IF(OR(O6="",P6=""),"",ABS(O6-P6))</x:f>
      </x:c>
      <x:c r="R6" s="57"/>
      <x:c r="S6" s="57"/>
      <x:c r="T6" s="57"/>
      <x:c r="U6" s="57"/>
      <x:c r="V6" s="57"/>
      <x:c r="W6" s="57"/>
      <x:c r="X6" s="57"/>
      <x:c r="Y6" s="57"/>
      <x:c r="Z6" s="57"/>
      <x:c r="AA6" s="57"/>
      <x:c r="AB6" s="57"/>
      <x:c r="AC6" s="57"/>
      <x:c r="AD6" s="57"/>
    </x:row>
    <x:row r="7" ht="15" customHeight="1">
      <x:c r="A7" s="121"/>
      <x:c r="B7" s="121"/>
      <x:c r="C7" s="121" t="n">
        <x:v>6</x:v>
      </x:c>
      <x:c r="D7" s="121"/>
      <x:c r="E7" s="121"/>
      <x:c r="F7" s="121"/>
      <x:c r="G7" s="121"/>
      <x:c r="H7" s="121"/>
      <x:c r="I7" s="121"/>
      <x:c r="J7" s="121"/>
      <x:c r="K7" s="121" t="str">
        <x:f>IF(OR(I7="",J7=""),"",ABS(I7-J7))</x:f>
      </x:c>
      <x:c r="L7" s="121"/>
      <x:c r="M7" s="57"/>
      <x:c r="N7" s="57" t="str">
        <x:f>IF(OR(L7="",M7=""),"",ABS(L7-M7))</x:f>
      </x:c>
      <x:c r="O7" s="57"/>
      <x:c r="P7" s="57"/>
      <x:c r="Q7" s="57" t="str">
        <x:f>IF(OR(O7="",P7=""),"",ABS(O7-P7))</x:f>
      </x:c>
      <x:c r="R7" s="57"/>
      <x:c r="S7" s="57"/>
      <x:c r="T7" s="57"/>
      <x:c r="U7" s="57"/>
      <x:c r="V7" s="57"/>
      <x:c r="W7" s="57"/>
      <x:c r="X7" s="57"/>
      <x:c r="Y7" s="57"/>
      <x:c r="Z7" s="57"/>
      <x:c r="AA7" s="57"/>
      <x:c r="AB7" s="57"/>
      <x:c r="AC7" s="57"/>
      <x:c r="AD7" s="57"/>
    </x:row>
    <x:row r="8" ht="15" customHeight="1">
      <x:c r="A8" s="121"/>
      <x:c r="B8" s="121"/>
      <x:c r="C8" s="121" t="n">
        <x:v>7</x:v>
      </x:c>
      <x:c r="D8" s="121"/>
      <x:c r="E8" s="121"/>
      <x:c r="F8" s="121"/>
      <x:c r="G8" s="121"/>
      <x:c r="H8" s="121"/>
      <x:c r="I8" s="121"/>
      <x:c r="J8" s="121"/>
      <x:c r="K8" s="121" t="str">
        <x:f>IF(OR(I8="",J8=""),"",ABS(I8-J8))</x:f>
      </x:c>
      <x:c r="L8" s="121"/>
      <x:c r="M8" s="57"/>
      <x:c r="N8" s="57" t="str">
        <x:f>IF(OR(L8="",M8=""),"",ABS(L8-M8))</x:f>
      </x:c>
      <x:c r="O8" s="57"/>
      <x:c r="P8" s="57"/>
      <x:c r="Q8" s="57" t="str">
        <x:f>IF(OR(O8="",P8=""),"",ABS(O8-P8))</x:f>
      </x:c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</x:row>
    <x:row r="9" ht="15" customHeight="1">
      <x:c r="A9" s="121"/>
      <x:c r="B9" s="121"/>
      <x:c r="C9" s="121" t="n">
        <x:v>8</x:v>
      </x:c>
      <x:c r="D9" s="121"/>
      <x:c r="E9" s="121"/>
      <x:c r="F9" s="121"/>
      <x:c r="G9" s="121"/>
      <x:c r="H9" s="121"/>
      <x:c r="I9" s="121"/>
      <x:c r="J9" s="121"/>
      <x:c r="K9" s="121" t="str">
        <x:f>IF(OR(I9="",J9=""),"",ABS(I9-J9))</x:f>
      </x:c>
      <x:c r="L9" s="121"/>
      <x:c r="M9" s="57"/>
      <x:c r="N9" s="57" t="str">
        <x:f>IF(OR(L9="",M9=""),"",ABS(L9-M9))</x:f>
      </x:c>
      <x:c r="O9" s="57"/>
      <x:c r="P9" s="57"/>
      <x:c r="Q9" s="57" t="str">
        <x:f>IF(OR(O9="",P9=""),"",ABS(O9-P9))</x:f>
      </x:c>
      <x:c r="R9" s="57"/>
      <x:c r="S9" s="57"/>
      <x:c r="T9" s="57"/>
      <x:c r="U9" s="57"/>
      <x:c r="V9" s="57"/>
      <x:c r="W9" s="57"/>
      <x:c r="X9" s="57"/>
      <x:c r="Y9" s="57"/>
      <x:c r="Z9" s="57"/>
      <x:c r="AA9" s="57"/>
      <x:c r="AB9" s="57"/>
      <x:c r="AC9" s="57"/>
      <x:c r="AD9" s="57"/>
    </x:row>
    <x:row r="10" ht="15" customHeight="1">
      <x:c r="A10" s="121"/>
      <x:c r="B10" s="121"/>
      <x:c r="C10" s="121" t="n">
        <x:v>9</x:v>
      </x:c>
      <x:c r="D10" s="121"/>
      <x:c r="E10" s="121"/>
      <x:c r="F10" s="121"/>
      <x:c r="G10" s="121"/>
      <x:c r="H10" s="121"/>
      <x:c r="I10" s="121"/>
      <x:c r="J10" s="121"/>
      <x:c r="K10" s="121" t="str">
        <x:f>IF(OR(I10="",J10=""),"",ABS(I10-J10))</x:f>
      </x:c>
      <x:c r="L10" s="121"/>
      <x:c r="M10" s="57"/>
      <x:c r="N10" s="57" t="str">
        <x:f>IF(OR(L10="",M10=""),"",ABS(L10-M10))</x:f>
      </x:c>
      <x:c r="O10" s="57"/>
      <x:c r="P10" s="57"/>
      <x:c r="Q10" s="57" t="str">
        <x:f>IF(OR(O10="",P10=""),"",ABS(O10-P10))</x:f>
      </x:c>
      <x:c r="R10" s="57"/>
      <x:c r="S10" s="57"/>
      <x:c r="T10" s="57"/>
      <x:c r="U10" s="57"/>
      <x:c r="V10" s="57"/>
      <x:c r="W10" s="57"/>
      <x:c r="X10" s="57"/>
      <x:c r="Y10" s="57"/>
      <x:c r="Z10" s="57"/>
      <x:c r="AA10" s="57"/>
      <x:c r="AB10" s="57"/>
      <x:c r="AC10" s="57"/>
      <x:c r="AD10" s="57"/>
    </x:row>
    <x:row r="11" ht="15" customHeight="1">
      <x:c r="A11" s="121"/>
      <x:c r="B11" s="121"/>
      <x:c r="C11" s="121" t="n">
        <x:v>10</x:v>
      </x:c>
      <x:c r="D11" s="121"/>
      <x:c r="E11" s="121"/>
      <x:c r="F11" s="121"/>
      <x:c r="G11" s="121"/>
      <x:c r="H11" s="121"/>
      <x:c r="I11" s="121"/>
      <x:c r="J11" s="121"/>
      <x:c r="K11" s="121" t="str">
        <x:f>IF(OR(I11="",J11=""),"",ABS(I11-J11))</x:f>
      </x:c>
      <x:c r="L11" s="121"/>
      <x:c r="M11" s="57"/>
      <x:c r="N11" s="57" t="str">
        <x:f>IF(OR(L11="",M11=""),"",ABS(L11-M11))</x:f>
      </x:c>
      <x:c r="O11" s="57"/>
      <x:c r="P11" s="57"/>
      <x:c r="Q11" s="57" t="str">
        <x:f>IF(OR(O11="",P11=""),"",ABS(O11-P11))</x:f>
      </x:c>
      <x:c r="R11" s="57"/>
      <x:c r="S11" s="57"/>
      <x:c r="T11" s="57"/>
      <x:c r="U11" s="57"/>
      <x:c r="V11" s="57"/>
      <x:c r="W11" s="57"/>
      <x:c r="X11" s="57"/>
      <x:c r="Y11" s="57"/>
      <x:c r="Z11" s="57"/>
      <x:c r="AA11" s="57"/>
      <x:c r="AB11" s="57"/>
      <x:c r="AC11" s="57"/>
      <x:c r="AD11" s="57"/>
    </x:row>
    <x:row r="12" ht="15" customHeight="1">
      <x:c r="A12" s="121"/>
      <x:c r="B12" s="121"/>
      <x:c r="C12" s="121" t="n">
        <x:v>11</x:v>
      </x:c>
      <x:c r="D12" s="121"/>
      <x:c r="E12" s="121"/>
      <x:c r="F12" s="121"/>
      <x:c r="G12" s="121"/>
      <x:c r="H12" s="121"/>
      <x:c r="I12" s="121"/>
      <x:c r="J12" s="121"/>
      <x:c r="K12" s="121" t="str">
        <x:f>IF(OR(I12="",J12=""),"",ABS(I12-J12))</x:f>
      </x:c>
      <x:c r="L12" s="121"/>
      <x:c r="M12" s="57"/>
      <x:c r="N12" s="57" t="str">
        <x:f>IF(OR(L12="",M12=""),"",ABS(L12-M12))</x:f>
      </x:c>
      <x:c r="O12" s="57"/>
      <x:c r="P12" s="57"/>
      <x:c r="Q12" s="57" t="str">
        <x:f>IF(OR(O12="",P12=""),"",ABS(O12-P12))</x:f>
      </x:c>
      <x:c r="R12" s="57"/>
      <x:c r="S12" s="57"/>
      <x:c r="T12" s="57"/>
      <x:c r="U12" s="57"/>
      <x:c r="V12" s="57"/>
      <x:c r="W12" s="57"/>
      <x:c r="X12" s="57"/>
      <x:c r="Y12" s="57"/>
      <x:c r="Z12" s="57"/>
      <x:c r="AA12" s="57"/>
      <x:c r="AB12" s="57"/>
      <x:c r="AC12" s="57"/>
      <x:c r="AD12" s="57"/>
    </x:row>
    <x:row r="13" ht="15" customHeight="1">
      <x:c r="A13" s="121"/>
      <x:c r="B13" s="121"/>
      <x:c r="C13" s="121" t="n">
        <x:v>12</x:v>
      </x:c>
      <x:c r="D13" s="121"/>
      <x:c r="E13" s="121"/>
      <x:c r="F13" s="121"/>
      <x:c r="G13" s="121"/>
      <x:c r="H13" s="121"/>
      <x:c r="I13" s="121"/>
      <x:c r="J13" s="121"/>
      <x:c r="K13" s="121" t="str">
        <x:f>IF(OR(I13="",J13=""),"",ABS(I13-J13))</x:f>
      </x:c>
      <x:c r="L13" s="121"/>
      <x:c r="M13" s="57"/>
      <x:c r="N13" s="57" t="str">
        <x:f>IF(OR(L13="",M13=""),"",ABS(L13-M13))</x:f>
      </x:c>
      <x:c r="O13" s="57"/>
      <x:c r="P13" s="57"/>
      <x:c r="Q13" s="57" t="str">
        <x:f>IF(OR(O13="",P13=""),"",ABS(O13-P13))</x:f>
      </x:c>
      <x:c r="R13" s="57"/>
      <x:c r="S13" s="57"/>
      <x:c r="T13" s="57"/>
      <x:c r="U13" s="57"/>
      <x:c r="V13" s="57"/>
      <x:c r="W13" s="57"/>
      <x:c r="X13" s="57"/>
      <x:c r="Y13" s="57"/>
      <x:c r="Z13" s="57"/>
      <x:c r="AA13" s="57"/>
      <x:c r="AB13" s="57"/>
      <x:c r="AC13" s="57"/>
      <x:c r="AD13" s="57"/>
    </x:row>
    <x:row r="14" ht="15" customHeight="1">
      <x:c r="A14" s="121"/>
      <x:c r="B14" s="121"/>
      <x:c r="C14" s="121" t="n">
        <x:v>13</x:v>
      </x:c>
      <x:c r="D14" s="121"/>
      <x:c r="E14" s="121"/>
      <x:c r="F14" s="121"/>
      <x:c r="G14" s="121"/>
      <x:c r="H14" s="121"/>
      <x:c r="I14" s="121"/>
      <x:c r="J14" s="121"/>
      <x:c r="K14" s="121" t="str">
        <x:f>IF(OR(I14="",J14=""),"",ABS(I14-J14))</x:f>
      </x:c>
      <x:c r="L14" s="121"/>
      <x:c r="M14" s="57"/>
      <x:c r="N14" s="57" t="str">
        <x:f>IF(OR(L14="",M14=""),"",ABS(L14-M14))</x:f>
      </x:c>
      <x:c r="O14" s="57"/>
      <x:c r="P14" s="57"/>
      <x:c r="Q14" s="57" t="str">
        <x:f>IF(OR(O14="",P14=""),"",ABS(O14-P14))</x:f>
      </x:c>
      <x:c r="R14" s="57"/>
      <x:c r="S14" s="57"/>
      <x:c r="T14" s="57"/>
      <x:c r="U14" s="57"/>
      <x:c r="V14" s="57"/>
      <x:c r="W14" s="57"/>
      <x:c r="X14" s="57"/>
      <x:c r="Y14" s="57"/>
      <x:c r="Z14" s="57"/>
      <x:c r="AA14" s="57"/>
      <x:c r="AB14" s="57"/>
      <x:c r="AC14" s="57"/>
      <x:c r="AD14" s="57"/>
    </x:row>
    <x:row r="15" ht="15" customHeight="1">
      <x:c r="A15" s="121"/>
      <x:c r="B15" s="121"/>
      <x:c r="C15" s="121" t="n">
        <x:v>14</x:v>
      </x:c>
      <x:c r="D15" s="121"/>
      <x:c r="E15" s="121"/>
      <x:c r="F15" s="121"/>
      <x:c r="G15" s="121"/>
      <x:c r="H15" s="121"/>
      <x:c r="I15" s="121"/>
      <x:c r="J15" s="121"/>
      <x:c r="K15" s="121" t="str">
        <x:f>IF(OR(I15="",J15=""),"",ABS(I15-J15))</x:f>
      </x:c>
      <x:c r="L15" s="121"/>
      <x:c r="M15" s="57"/>
      <x:c r="N15" s="57" t="str">
        <x:f>IF(OR(L15="",M15=""),"",ABS(L15-M15))</x:f>
      </x:c>
      <x:c r="O15" s="57"/>
      <x:c r="P15" s="57"/>
      <x:c r="Q15" s="57" t="str">
        <x:f>IF(OR(O15="",P15=""),"",ABS(O15-P15))</x:f>
      </x:c>
      <x:c r="R15" s="57"/>
      <x:c r="S15" s="57"/>
      <x:c r="T15" s="57"/>
      <x:c r="U15" s="57"/>
      <x:c r="V15" s="57"/>
      <x:c r="W15" s="57"/>
      <x:c r="X15" s="57"/>
      <x:c r="Y15" s="57"/>
      <x:c r="Z15" s="57"/>
      <x:c r="AA15" s="57"/>
      <x:c r="AB15" s="57"/>
      <x:c r="AC15" s="57"/>
      <x:c r="AD15" s="57"/>
    </x:row>
    <x:row r="16" ht="15" customHeight="1">
      <x:c r="A16" s="121"/>
      <x:c r="B16" s="121"/>
      <x:c r="C16" s="121" t="n">
        <x:v>15</x:v>
      </x:c>
      <x:c r="D16" s="121"/>
      <x:c r="E16" s="121"/>
      <x:c r="F16" s="121"/>
      <x:c r="G16" s="121"/>
      <x:c r="H16" s="121"/>
      <x:c r="I16" s="121"/>
      <x:c r="J16" s="121"/>
      <x:c r="K16" s="121" t="str">
        <x:f>IF(OR(I16="",J16=""),"",ABS(I16-J16))</x:f>
      </x:c>
      <x:c r="L16" s="121"/>
      <x:c r="M16" s="57"/>
      <x:c r="N16" s="57" t="str">
        <x:f>IF(OR(L16="",M16=""),"",ABS(L16-M16))</x:f>
      </x:c>
      <x:c r="O16" s="57"/>
      <x:c r="P16" s="57"/>
      <x:c r="Q16" s="57" t="str">
        <x:f>IF(OR(O16="",P16=""),"",ABS(O16-P16))</x:f>
      </x:c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</x:row>
    <x:row r="17" ht="15" customHeight="1">
      <x:c r="A17" s="121"/>
      <x:c r="B17" s="121"/>
      <x:c r="C17" s="121" t="n">
        <x:v>16</x:v>
      </x:c>
      <x:c r="D17" s="121"/>
      <x:c r="E17" s="121"/>
      <x:c r="F17" s="121"/>
      <x:c r="G17" s="121"/>
      <x:c r="H17" s="121"/>
      <x:c r="I17" s="121"/>
      <x:c r="J17" s="121"/>
      <x:c r="K17" s="121" t="str">
        <x:f>IF(OR(I17="",J17=""),"",ABS(I17-J17))</x:f>
      </x:c>
      <x:c r="L17" s="121"/>
      <x:c r="M17" s="57"/>
      <x:c r="N17" s="57" t="str">
        <x:f>IF(OR(L17="",M17=""),"",ABS(L17-M17))</x:f>
      </x:c>
      <x:c r="O17" s="57"/>
      <x:c r="P17" s="57"/>
      <x:c r="Q17" s="57" t="str">
        <x:f>IF(OR(O17="",P17=""),"",ABS(O17-P17))</x:f>
      </x:c>
      <x:c r="R17" s="57"/>
      <x:c r="S17" s="57"/>
      <x:c r="T17" s="57"/>
      <x:c r="U17" s="57"/>
      <x:c r="V17" s="57"/>
      <x:c r="W17" s="57"/>
      <x:c r="X17" s="57"/>
      <x:c r="Y17" s="57"/>
      <x:c r="Z17" s="57"/>
      <x:c r="AA17" s="57"/>
      <x:c r="AB17" s="57"/>
      <x:c r="AC17" s="57"/>
      <x:c r="AD17" s="57"/>
    </x:row>
    <x:row r="18" ht="15" customHeight="1">
      <x:c r="A18" s="121"/>
      <x:c r="B18" s="121"/>
      <x:c r="C18" s="121" t="n">
        <x:v>17</x:v>
      </x:c>
      <x:c r="D18" s="121"/>
      <x:c r="E18" s="121"/>
      <x:c r="F18" s="121"/>
      <x:c r="G18" s="121"/>
      <x:c r="H18" s="121"/>
      <x:c r="I18" s="121"/>
      <x:c r="J18" s="121"/>
      <x:c r="K18" s="121" t="str">
        <x:f>IF(OR(I18="",J18=""),"",ABS(I18-J18))</x:f>
      </x:c>
      <x:c r="L18" s="121"/>
      <x:c r="M18" s="57"/>
      <x:c r="N18" s="57" t="str">
        <x:f>IF(OR(L18="",M18=""),"",ABS(L18-M18))</x:f>
      </x:c>
      <x:c r="O18" s="57"/>
      <x:c r="P18" s="57"/>
      <x:c r="Q18" s="57" t="str">
        <x:f>IF(OR(O18="",P18=""),"",ABS(O18-P18))</x:f>
      </x:c>
      <x:c r="R18" s="57"/>
      <x:c r="S18" s="57"/>
      <x:c r="T18" s="57"/>
      <x:c r="U18" s="57"/>
      <x:c r="V18" s="57"/>
      <x:c r="W18" s="57"/>
      <x:c r="X18" s="57"/>
      <x:c r="Y18" s="57"/>
      <x:c r="Z18" s="57"/>
      <x:c r="AA18" s="57"/>
      <x:c r="AB18" s="57"/>
      <x:c r="AC18" s="57"/>
      <x:c r="AD18" s="57"/>
    </x:row>
    <x:row r="19" ht="15" customHeight="1">
      <x:c r="A19" s="121"/>
      <x:c r="B19" s="121"/>
      <x:c r="C19" s="121" t="n">
        <x:v>18</x:v>
      </x:c>
      <x:c r="D19" s="121"/>
      <x:c r="E19" s="121"/>
      <x:c r="F19" s="121"/>
      <x:c r="G19" s="121"/>
      <x:c r="H19" s="121"/>
      <x:c r="I19" s="121"/>
      <x:c r="J19" s="121"/>
      <x:c r="K19" s="121" t="str">
        <x:f>IF(OR(I19="",J19=""),"",ABS(I19-J19))</x:f>
      </x:c>
      <x:c r="L19" s="121"/>
      <x:c r="M19" s="57"/>
      <x:c r="N19" s="57" t="str">
        <x:f>IF(OR(L19="",M19=""),"",ABS(L19-M19))</x:f>
      </x:c>
      <x:c r="O19" s="57"/>
      <x:c r="P19" s="57"/>
      <x:c r="Q19" s="57" t="str">
        <x:f>IF(OR(O19="",P19=""),"",ABS(O19-P19))</x:f>
      </x:c>
      <x:c r="R19" s="57"/>
      <x:c r="S19" s="57"/>
      <x:c r="T19" s="57"/>
      <x:c r="U19" s="57"/>
      <x:c r="V19" s="57"/>
      <x:c r="W19" s="57"/>
      <x:c r="X19" s="57"/>
      <x:c r="Y19" s="57"/>
      <x:c r="Z19" s="57"/>
      <x:c r="AA19" s="57"/>
      <x:c r="AB19" s="57"/>
      <x:c r="AC19" s="57"/>
      <x:c r="AD19" s="57"/>
    </x:row>
    <x:row r="20" ht="15" customHeight="1">
      <x:c r="A20" s="121"/>
      <x:c r="B20" s="121"/>
      <x:c r="C20" s="121" t="n">
        <x:v>19</x:v>
      </x:c>
      <x:c r="D20" s="121"/>
      <x:c r="E20" s="121"/>
      <x:c r="F20" s="121"/>
      <x:c r="G20" s="121"/>
      <x:c r="H20" s="121"/>
      <x:c r="I20" s="121"/>
      <x:c r="J20" s="121"/>
      <x:c r="K20" s="121" t="str">
        <x:f>IF(OR(I20="",J20=""),"",ABS(I20-J20))</x:f>
      </x:c>
      <x:c r="L20" s="121"/>
      <x:c r="M20" s="57"/>
      <x:c r="N20" s="57" t="str">
        <x:f>IF(OR(L20="",M20=""),"",ABS(L20-M20))</x:f>
      </x:c>
      <x:c r="O20" s="57"/>
      <x:c r="P20" s="57"/>
      <x:c r="Q20" s="57" t="str">
        <x:f>IF(OR(O20="",P20=""),"",ABS(O20-P20))</x:f>
      </x:c>
      <x:c r="R20" s="57"/>
      <x:c r="S20" s="57"/>
      <x:c r="T20" s="57"/>
      <x:c r="U20" s="57"/>
      <x:c r="V20" s="57"/>
      <x:c r="W20" s="57"/>
      <x:c r="X20" s="57"/>
      <x:c r="Y20" s="57"/>
      <x:c r="Z20" s="57"/>
      <x:c r="AA20" s="57"/>
      <x:c r="AB20" s="57"/>
      <x:c r="AC20" s="57"/>
      <x:c r="AD20" s="57"/>
    </x:row>
    <x:row r="21" ht="15" customHeight="1">
      <x:c r="A21" s="121"/>
      <x:c r="B21" s="121"/>
      <x:c r="C21" s="121" t="n">
        <x:v>20</x:v>
      </x:c>
      <x:c r="D21" s="121"/>
      <x:c r="E21" s="121"/>
      <x:c r="F21" s="121"/>
      <x:c r="G21" s="121"/>
      <x:c r="H21" s="121"/>
      <x:c r="I21" s="121"/>
      <x:c r="J21" s="121"/>
      <x:c r="K21" s="121" t="str">
        <x:f>IF(OR(I21="",J21=""),"",ABS(I21-J21))</x:f>
      </x:c>
      <x:c r="L21" s="121"/>
      <x:c r="M21" s="57"/>
      <x:c r="N21" s="57" t="str">
        <x:f>IF(OR(L21="",M21=""),"",ABS(L21-M21))</x:f>
      </x:c>
      <x:c r="O21" s="57"/>
      <x:c r="P21" s="57"/>
      <x:c r="Q21" s="57" t="str">
        <x:f>IF(OR(O21="",P21=""),"",ABS(O21-P21))</x:f>
      </x:c>
      <x:c r="R21" s="57"/>
      <x:c r="S21" s="57"/>
      <x:c r="T21" s="57"/>
      <x:c r="U21" s="57"/>
      <x:c r="V21" s="57"/>
      <x:c r="W21" s="57"/>
      <x:c r="X21" s="57"/>
      <x:c r="Y21" s="57"/>
      <x:c r="Z21" s="57"/>
      <x:c r="AA21" s="57"/>
      <x:c r="AB21" s="57"/>
      <x:c r="AC21" s="57"/>
      <x:c r="AD21" s="57"/>
    </x:row>
    <x:row r="22" ht="15" customHeight="1">
      <x:c r="A22" s="121"/>
      <x:c r="B22" s="121"/>
      <x:c r="C22" s="121" t="n">
        <x:v>21</x:v>
      </x:c>
      <x:c r="D22" s="121"/>
      <x:c r="E22" s="121"/>
      <x:c r="F22" s="121"/>
      <x:c r="G22" s="121"/>
      <x:c r="H22" s="121"/>
      <x:c r="I22" s="121"/>
      <x:c r="J22" s="121"/>
      <x:c r="K22" s="121" t="str">
        <x:f>IF(OR(I22="",J22=""),"",ABS(I22-J22))</x:f>
      </x:c>
      <x:c r="L22" s="121"/>
      <x:c r="M22" s="57"/>
      <x:c r="N22" s="57" t="str">
        <x:f>IF(OR(L22="",M22=""),"",ABS(L22-M22))</x:f>
      </x:c>
      <x:c r="O22" s="57"/>
      <x:c r="P22" s="57"/>
      <x:c r="Q22" s="57" t="str">
        <x:f>IF(OR(O22="",P22=""),"",ABS(O22-P22))</x:f>
      </x:c>
      <x:c r="R22" s="57"/>
      <x:c r="S22" s="57"/>
      <x:c r="T22" s="57"/>
      <x:c r="U22" s="57"/>
      <x:c r="V22" s="57"/>
      <x:c r="W22" s="57"/>
      <x:c r="X22" s="57"/>
      <x:c r="Y22" s="57"/>
      <x:c r="Z22" s="57"/>
      <x:c r="AA22" s="57"/>
      <x:c r="AB22" s="57"/>
      <x:c r="AC22" s="57"/>
      <x:c r="AD22" s="57"/>
    </x:row>
    <x:row r="23" ht="15" customHeight="1">
      <x:c r="A23" s="121"/>
      <x:c r="B23" s="121"/>
      <x:c r="C23" s="121" t="n">
        <x:v>22</x:v>
      </x:c>
      <x:c r="D23" s="121"/>
      <x:c r="E23" s="121"/>
      <x:c r="F23" s="121"/>
      <x:c r="G23" s="121"/>
      <x:c r="H23" s="121"/>
      <x:c r="I23" s="121"/>
      <x:c r="J23" s="121"/>
      <x:c r="K23" s="121" t="str">
        <x:f>IF(OR(I23="",J23=""),"",ABS(I23-J23))</x:f>
      </x:c>
      <x:c r="L23" s="121"/>
      <x:c r="M23" s="57"/>
      <x:c r="N23" s="57" t="str">
        <x:f>IF(OR(L23="",M23=""),"",ABS(L23-M23))</x:f>
      </x:c>
      <x:c r="O23" s="57"/>
      <x:c r="P23" s="57"/>
      <x:c r="Q23" s="57" t="str">
        <x:f>IF(OR(O23="",P23=""),"",ABS(O23-P23))</x:f>
      </x:c>
      <x:c r="R23" s="57"/>
      <x:c r="S23" s="57"/>
      <x:c r="T23" s="57"/>
      <x:c r="U23" s="57"/>
      <x:c r="V23" s="57"/>
      <x:c r="W23" s="57"/>
      <x:c r="X23" s="57"/>
      <x:c r="Y23" s="57"/>
      <x:c r="Z23" s="57"/>
      <x:c r="AA23" s="57"/>
      <x:c r="AB23" s="57"/>
      <x:c r="AC23" s="57"/>
      <x:c r="AD23" s="57"/>
    </x:row>
    <x:row r="24" ht="15" customHeight="1">
      <x:c r="A24" s="121"/>
      <x:c r="B24" s="121"/>
      <x:c r="C24" s="121" t="n">
        <x:v>23</x:v>
      </x:c>
      <x:c r="D24" s="121"/>
      <x:c r="E24" s="121"/>
      <x:c r="F24" s="121"/>
      <x:c r="G24" s="121"/>
      <x:c r="H24" s="121"/>
      <x:c r="I24" s="121"/>
      <x:c r="J24" s="121"/>
      <x:c r="K24" s="121" t="str">
        <x:f>IF(OR(I24="",J24=""),"",ABS(I24-J24))</x:f>
      </x:c>
      <x:c r="L24" s="121"/>
      <x:c r="M24" s="57"/>
      <x:c r="N24" s="57" t="str">
        <x:f>IF(OR(L24="",M24=""),"",ABS(L24-M24))</x:f>
      </x:c>
      <x:c r="O24" s="57"/>
      <x:c r="P24" s="57"/>
      <x:c r="Q24" s="57" t="str">
        <x:f>IF(OR(O24="",P24=""),"",ABS(O24-P24))</x:f>
      </x:c>
      <x:c r="R24" s="57"/>
      <x:c r="S24" s="57"/>
      <x:c r="T24" s="57"/>
      <x:c r="U24" s="57"/>
      <x:c r="V24" s="57"/>
      <x:c r="W24" s="57"/>
      <x:c r="X24" s="57"/>
      <x:c r="Y24" s="57"/>
      <x:c r="Z24" s="57"/>
      <x:c r="AA24" s="57"/>
      <x:c r="AB24" s="57"/>
      <x:c r="AC24" s="57"/>
      <x:c r="AD24" s="57"/>
    </x:row>
    <x:row r="25" ht="15" customHeight="1">
      <x:c r="A25" s="121"/>
      <x:c r="B25" s="121"/>
      <x:c r="C25" s="121" t="n">
        <x:v>24</x:v>
      </x:c>
      <x:c r="D25" s="121"/>
      <x:c r="E25" s="121"/>
      <x:c r="F25" s="121"/>
      <x:c r="G25" s="121"/>
      <x:c r="H25" s="121"/>
      <x:c r="I25" s="121"/>
      <x:c r="J25" s="121"/>
      <x:c r="K25" s="121" t="str">
        <x:f>IF(OR(I25="",J25=""),"",ABS(I25-J25))</x:f>
      </x:c>
      <x:c r="L25" s="121"/>
      <x:c r="M25" s="57"/>
      <x:c r="N25" s="57" t="str">
        <x:f>IF(OR(L25="",M25=""),"",ABS(L25-M25))</x:f>
      </x:c>
      <x:c r="O25" s="57"/>
      <x:c r="P25" s="57"/>
      <x:c r="Q25" s="57" t="str">
        <x:f>IF(OR(O25="",P25=""),"",ABS(O25-P25))</x:f>
      </x:c>
      <x:c r="R25" s="57"/>
      <x:c r="S25" s="57"/>
      <x:c r="T25" s="57"/>
      <x:c r="U25" s="57"/>
      <x:c r="V25" s="57"/>
      <x:c r="W25" s="57"/>
      <x:c r="X25" s="57"/>
      <x:c r="Y25" s="57"/>
      <x:c r="Z25" s="57"/>
      <x:c r="AA25" s="57"/>
      <x:c r="AB25" s="57"/>
      <x:c r="AC25" s="57"/>
      <x:c r="AD25" s="57"/>
    </x:row>
    <x:row r="26" ht="15" customHeight="1">
      <x:c r="A26" s="121"/>
      <x:c r="B26" s="121"/>
      <x:c r="C26" s="121" t="n">
        <x:v>25</x:v>
      </x:c>
      <x:c r="D26" s="121"/>
      <x:c r="E26" s="121"/>
      <x:c r="F26" s="121"/>
      <x:c r="G26" s="121"/>
      <x:c r="H26" s="121"/>
      <x:c r="I26" s="121"/>
      <x:c r="J26" s="121"/>
      <x:c r="K26" s="121" t="str">
        <x:f>IF(OR(I26="",J26=""),"",ABS(I26-J26))</x:f>
      </x:c>
      <x:c r="L26" s="121"/>
      <x:c r="M26" s="57"/>
      <x:c r="N26" s="57" t="str">
        <x:f>IF(OR(L26="",M26=""),"",ABS(L26-M26))</x:f>
      </x:c>
      <x:c r="O26" s="57"/>
      <x:c r="P26" s="57"/>
      <x:c r="Q26" s="57" t="str">
        <x:f>IF(OR(O26="",P26=""),"",ABS(O26-P26))</x:f>
      </x:c>
      <x:c r="R26" s="57"/>
      <x:c r="S26" s="57"/>
      <x:c r="T26" s="57"/>
      <x:c r="U26" s="57"/>
      <x:c r="V26" s="57"/>
      <x:c r="W26" s="57"/>
      <x:c r="X26" s="57"/>
      <x:c r="Y26" s="57"/>
      <x:c r="Z26" s="57"/>
      <x:c r="AA26" s="57"/>
      <x:c r="AB26" s="57"/>
      <x:c r="AC26" s="57"/>
      <x:c r="AD26" s="57"/>
    </x:row>
    <x:row r="27">
      <x:c r="A27" s="57"/>
      <x:c r="B27" s="57"/>
      <x:c r="C27" s="57" t="n">
        <x:v>26</x:v>
      </x:c>
      <x:c r="D27" s="57"/>
      <x:c r="E27" s="57"/>
      <x:c r="F27" s="57"/>
      <x:c r="G27" s="57"/>
      <x:c r="H27" s="57"/>
      <x:c r="I27" s="57"/>
      <x:c r="J27" s="57"/>
      <x:c r="K27" s="57" t="str">
        <x:f>IF(OR(I27="",J27=""),"",ABS(I27-J27))</x:f>
      </x:c>
      <x:c r="L27" s="57"/>
      <x:c r="M27" s="57"/>
      <x:c r="N27" s="57" t="str">
        <x:f>IF(OR(L27="",M27=""),"",ABS(L27-M27))</x:f>
      </x:c>
      <x:c r="O27" s="57"/>
      <x:c r="P27" s="57"/>
      <x:c r="Q27" s="57" t="str">
        <x:f>IF(OR(O27="",P27=""),"",ABS(O27-P27))</x:f>
      </x:c>
      <x:c r="R27" s="57"/>
      <x:c r="S27" s="57"/>
      <x:c r="T27" s="57"/>
      <x:c r="U27" s="57"/>
      <x:c r="V27" s="57"/>
      <x:c r="W27" s="57"/>
      <x:c r="X27" s="57"/>
      <x:c r="Y27" s="57"/>
      <x:c r="Z27" s="57"/>
      <x:c r="AA27" s="57"/>
      <x:c r="AB27" s="57"/>
      <x:c r="AC27" s="57"/>
      <x:c r="AD27" s="57"/>
    </x:row>
    <x:row r="28">
      <x:c r="A28" s="57"/>
      <x:c r="B28" s="57"/>
      <x:c r="C28" s="57" t="n">
        <x:v>27</x:v>
      </x:c>
      <x:c r="D28" s="57"/>
      <x:c r="E28" s="57"/>
      <x:c r="F28" s="57"/>
      <x:c r="G28" s="57"/>
      <x:c r="H28" s="57"/>
      <x:c r="I28" s="57"/>
      <x:c r="J28" s="57"/>
      <x:c r="K28" s="57" t="str">
        <x:f>IF(OR(I28="",J28=""),"",ABS(I28-J28))</x:f>
      </x:c>
      <x:c r="L28" s="57"/>
      <x:c r="M28" s="57"/>
      <x:c r="N28" s="57" t="str">
        <x:f>IF(OR(L28="",M28=""),"",ABS(L28-M28))</x:f>
      </x:c>
      <x:c r="O28" s="57"/>
      <x:c r="P28" s="57"/>
      <x:c r="Q28" s="57" t="str">
        <x:f>IF(OR(O28="",P28=""),"",ABS(O28-P28))</x:f>
      </x:c>
      <x:c r="R28" s="57"/>
      <x:c r="S28" s="57"/>
      <x:c r="T28" s="57"/>
      <x:c r="U28" s="57"/>
      <x:c r="V28" s="57"/>
      <x:c r="W28" s="57"/>
      <x:c r="X28" s="57"/>
      <x:c r="Y28" s="57"/>
      <x:c r="Z28" s="57"/>
      <x:c r="AA28" s="57"/>
      <x:c r="AB28" s="57"/>
      <x:c r="AC28" s="57"/>
      <x:c r="AD28" s="57"/>
    </x:row>
    <x:row r="29">
      <x:c r="A29" s="57"/>
      <x:c r="B29" s="57"/>
      <x:c r="C29" s="57" t="n">
        <x:v>28</x:v>
      </x:c>
      <x:c r="D29" s="57"/>
      <x:c r="E29" s="57"/>
      <x:c r="F29" s="57"/>
      <x:c r="G29" s="57"/>
      <x:c r="H29" s="57"/>
      <x:c r="I29" s="57"/>
      <x:c r="J29" s="57"/>
      <x:c r="K29" s="57" t="str">
        <x:f>IF(OR(I29="",J29=""),"",ABS(I29-J29))</x:f>
      </x:c>
      <x:c r="L29" s="57"/>
      <x:c r="M29" s="57"/>
      <x:c r="N29" s="57" t="str">
        <x:f>IF(OR(L29="",M29=""),"",ABS(L29-M29))</x:f>
      </x:c>
      <x:c r="O29" s="57"/>
      <x:c r="P29" s="57"/>
      <x:c r="Q29" s="57" t="str">
        <x:f>IF(OR(O29="",P29=""),"",ABS(O29-P29))</x:f>
      </x:c>
      <x:c r="R29" s="57"/>
      <x:c r="S29" s="57"/>
      <x:c r="T29" s="57"/>
      <x:c r="U29" s="57"/>
      <x:c r="V29" s="57"/>
      <x:c r="W29" s="57"/>
      <x:c r="X29" s="57"/>
      <x:c r="Y29" s="57"/>
      <x:c r="Z29" s="57"/>
      <x:c r="AA29" s="57"/>
      <x:c r="AB29" s="57"/>
      <x:c r="AC29" s="57"/>
      <x:c r="AD29" s="57"/>
    </x:row>
    <x:row r="30">
      <x:c r="A30" s="57"/>
      <x:c r="B30" s="57"/>
      <x:c r="C30" s="57" t="n">
        <x:v>29</x:v>
      </x:c>
      <x:c r="D30" s="57"/>
      <x:c r="E30" s="57"/>
      <x:c r="F30" s="57"/>
      <x:c r="G30" s="57"/>
      <x:c r="H30" s="57"/>
      <x:c r="I30" s="57"/>
      <x:c r="J30" s="57"/>
      <x:c r="K30" s="57" t="str">
        <x:f>IF(OR(I30="",J30=""),"",ABS(I30-J30))</x:f>
      </x:c>
      <x:c r="L30" s="57"/>
      <x:c r="M30" s="57"/>
      <x:c r="N30" s="57" t="str">
        <x:f>IF(OR(L30="",M30=""),"",ABS(L30-M30))</x:f>
      </x:c>
      <x:c r="O30" s="57"/>
      <x:c r="P30" s="57"/>
      <x:c r="Q30" s="57" t="str">
        <x:f>IF(OR(O30="",P30=""),"",ABS(O30-P30))</x:f>
      </x:c>
      <x:c r="R30" s="57"/>
      <x:c r="S30" s="57"/>
      <x:c r="T30" s="57"/>
      <x:c r="U30" s="57"/>
      <x:c r="V30" s="57"/>
      <x:c r="W30" s="57"/>
      <x:c r="X30" s="57"/>
      <x:c r="Y30" s="57"/>
      <x:c r="Z30" s="57"/>
      <x:c r="AA30" s="57"/>
      <x:c r="AB30" s="57"/>
      <x:c r="AC30" s="57"/>
      <x:c r="AD30" s="57"/>
    </x:row>
    <x:row r="31">
      <x:c r="A31" s="57"/>
      <x:c r="B31" s="57"/>
      <x:c r="C31" s="57" t="n">
        <x:v>30</x:v>
      </x:c>
      <x:c r="D31" s="57"/>
      <x:c r="E31" s="57"/>
      <x:c r="F31" s="57"/>
      <x:c r="G31" s="57"/>
      <x:c r="H31" s="57"/>
      <x:c r="I31" s="57"/>
      <x:c r="J31" s="57"/>
      <x:c r="K31" s="57" t="str">
        <x:f>IF(OR(I31="",J31=""),"",ABS(I31-J31))</x:f>
      </x:c>
      <x:c r="L31" s="57"/>
      <x:c r="M31" s="57"/>
      <x:c r="N31" s="57" t="str">
        <x:f>IF(OR(L31="",M31=""),"",ABS(L31-M31))</x:f>
      </x:c>
      <x:c r="O31" s="57"/>
      <x:c r="P31" s="57"/>
      <x:c r="Q31" s="57" t="str">
        <x:f>IF(OR(O31="",P31=""),"",ABS(O31-P31))</x:f>
      </x:c>
      <x:c r="R31" s="57"/>
      <x:c r="S31" s="57"/>
      <x:c r="T31" s="57"/>
      <x:c r="U31" s="57"/>
      <x:c r="V31" s="57"/>
      <x:c r="W31" s="57"/>
      <x:c r="X31" s="57"/>
      <x:c r="Y31" s="57"/>
      <x:c r="Z31" s="57"/>
      <x:c r="AA31" s="57"/>
      <x:c r="AB31" s="57"/>
      <x:c r="AC31" s="57"/>
      <x:c r="AD31" s="57"/>
    </x:row>
    <x:row r="32">
      <x:c r="A32" s="57"/>
      <x:c r="B32" s="57"/>
      <x:c r="C32" s="57" t="n">
        <x:v>31</x:v>
      </x:c>
      <x:c r="D32" s="57"/>
      <x:c r="E32" s="57"/>
      <x:c r="F32" s="57"/>
      <x:c r="G32" s="57"/>
      <x:c r="H32" s="57"/>
      <x:c r="I32" s="57"/>
      <x:c r="J32" s="57"/>
      <x:c r="K32" s="57" t="str">
        <x:f>IF(OR(I32="",J32=""),"",ABS(I32-J32))</x:f>
      </x:c>
      <x:c r="L32" s="57"/>
      <x:c r="M32" s="57"/>
      <x:c r="N32" s="57" t="str">
        <x:f>IF(OR(L32="",M32=""),"",ABS(L32-M32))</x:f>
      </x:c>
      <x:c r="O32" s="57"/>
      <x:c r="P32" s="57"/>
      <x:c r="Q32" s="57" t="str">
        <x:f>IF(OR(O32="",P32=""),"",ABS(O32-P32))</x:f>
      </x:c>
      <x:c r="R32" s="57"/>
      <x:c r="S32" s="57"/>
      <x:c r="T32" s="57"/>
      <x:c r="U32" s="57"/>
      <x:c r="V32" s="57"/>
      <x:c r="W32" s="57"/>
      <x:c r="X32" s="57"/>
      <x:c r="Y32" s="57"/>
      <x:c r="Z32" s="57"/>
      <x:c r="AA32" s="57"/>
      <x:c r="AB32" s="57"/>
      <x:c r="AC32" s="57"/>
      <x:c r="AD32" s="57"/>
    </x:row>
    <x:row r="33">
      <x:c r="A33" s="57"/>
      <x:c r="B33" s="57"/>
      <x:c r="C33" s="57" t="n">
        <x:v>32</x:v>
      </x:c>
      <x:c r="D33" s="57"/>
      <x:c r="E33" s="57"/>
      <x:c r="F33" s="57"/>
      <x:c r="G33" s="57"/>
      <x:c r="H33" s="57"/>
      <x:c r="I33" s="57"/>
      <x:c r="J33" s="57"/>
      <x:c r="K33" s="57" t="str">
        <x:f>IF(OR(I33="",J33=""),"",ABS(I33-J33))</x:f>
      </x:c>
      <x:c r="L33" s="57"/>
      <x:c r="M33" s="57"/>
      <x:c r="N33" s="57" t="str">
        <x:f>IF(OR(L33="",M33=""),"",ABS(L33-M33))</x:f>
      </x:c>
      <x:c r="O33" s="57"/>
      <x:c r="P33" s="57"/>
      <x:c r="Q33" s="57" t="str">
        <x:f>IF(OR(O33="",P33=""),"",ABS(O33-P33))</x:f>
      </x:c>
      <x:c r="R33" s="57"/>
      <x:c r="S33" s="57"/>
      <x:c r="T33" s="57"/>
      <x:c r="U33" s="57"/>
      <x:c r="V33" s="57"/>
      <x:c r="W33" s="57"/>
      <x:c r="X33" s="57"/>
      <x:c r="Y33" s="57"/>
      <x:c r="Z33" s="57"/>
      <x:c r="AA33" s="57"/>
      <x:c r="AB33" s="57"/>
      <x:c r="AC33" s="57"/>
      <x:c r="AD33" s="57"/>
    </x:row>
    <x:row r="34">
      <x:c r="A34" s="57"/>
      <x:c r="B34" s="57"/>
      <x:c r="C34" s="57" t="n">
        <x:v>33</x:v>
      </x:c>
      <x:c r="D34" s="57"/>
      <x:c r="E34" s="57"/>
      <x:c r="F34" s="57"/>
      <x:c r="G34" s="57"/>
      <x:c r="H34" s="57"/>
      <x:c r="I34" s="57"/>
      <x:c r="J34" s="57"/>
      <x:c r="K34" s="57" t="str">
        <x:f>IF(OR(I34="",J34=""),"",ABS(I34-J34))</x:f>
      </x:c>
      <x:c r="L34" s="57"/>
      <x:c r="M34" s="57"/>
      <x:c r="N34" s="57" t="str">
        <x:f>IF(OR(L34="",M34=""),"",ABS(L34-M34))</x:f>
      </x:c>
      <x:c r="O34" s="57"/>
      <x:c r="P34" s="57"/>
      <x:c r="Q34" s="57" t="str">
        <x:f>IF(OR(O34="",P34=""),"",ABS(O34-P34))</x:f>
      </x:c>
      <x:c r="R34" s="57"/>
      <x:c r="S34" s="57"/>
      <x:c r="T34" s="57"/>
      <x:c r="U34" s="57"/>
      <x:c r="V34" s="57"/>
      <x:c r="W34" s="57"/>
      <x:c r="X34" s="57"/>
      <x:c r="Y34" s="57"/>
      <x:c r="Z34" s="57"/>
      <x:c r="AA34" s="57"/>
      <x:c r="AB34" s="57"/>
      <x:c r="AC34" s="57"/>
      <x:c r="AD34" s="57"/>
    </x:row>
    <x:row r="35">
      <x:c r="A35" s="57"/>
      <x:c r="B35" s="57"/>
      <x:c r="C35" s="57" t="n">
        <x:v>34</x:v>
      </x:c>
      <x:c r="D35" s="57"/>
      <x:c r="E35" s="57"/>
      <x:c r="F35" s="57"/>
      <x:c r="G35" s="57"/>
      <x:c r="H35" s="57"/>
      <x:c r="I35" s="57"/>
      <x:c r="J35" s="57"/>
      <x:c r="K35" s="57" t="str">
        <x:f>IF(OR(I35="",J35=""),"",ABS(I35-J35))</x:f>
      </x:c>
      <x:c r="L35" s="57"/>
      <x:c r="M35" s="57"/>
      <x:c r="N35" s="57" t="str">
        <x:f>IF(OR(L35="",M35=""),"",ABS(L35-M35))</x:f>
      </x:c>
      <x:c r="O35" s="57"/>
      <x:c r="P35" s="57"/>
      <x:c r="Q35" s="57" t="str">
        <x:f>IF(OR(O35="",P35=""),"",ABS(O35-P35))</x:f>
      </x:c>
      <x:c r="R35" s="57"/>
      <x:c r="S35" s="57"/>
      <x:c r="T35" s="57"/>
      <x:c r="U35" s="57"/>
      <x:c r="V35" s="57"/>
      <x:c r="W35" s="57"/>
      <x:c r="X35" s="57"/>
      <x:c r="Y35" s="57"/>
      <x:c r="Z35" s="57"/>
      <x:c r="AA35" s="57"/>
      <x:c r="AB35" s="57"/>
      <x:c r="AC35" s="57"/>
      <x:c r="AD35" s="57"/>
    </x:row>
    <x:row r="36">
      <x:c r="A36" s="57"/>
      <x:c r="B36" s="57"/>
      <x:c r="C36" s="57" t="n">
        <x:v>35</x:v>
      </x:c>
      <x:c r="D36" s="57"/>
      <x:c r="E36" s="57"/>
      <x:c r="F36" s="57"/>
      <x:c r="G36" s="57"/>
      <x:c r="H36" s="57"/>
      <x:c r="I36" s="57"/>
      <x:c r="J36" s="57"/>
      <x:c r="K36" s="57" t="str">
        <x:f>IF(OR(I36="",J36=""),"",ABS(I36-J36))</x:f>
      </x:c>
      <x:c r="L36" s="57"/>
      <x:c r="M36" s="57"/>
      <x:c r="N36" s="57" t="str">
        <x:f>IF(OR(L36="",M36=""),"",ABS(L36-M36))</x:f>
      </x:c>
      <x:c r="O36" s="57"/>
      <x:c r="P36" s="57"/>
      <x:c r="Q36" s="57" t="str">
        <x:f>IF(OR(O36="",P36=""),"",ABS(O36-P36))</x:f>
      </x:c>
      <x:c r="R36" s="57"/>
      <x:c r="S36" s="57"/>
      <x:c r="T36" s="57"/>
      <x:c r="U36" s="57"/>
      <x:c r="V36" s="57"/>
      <x:c r="W36" s="57"/>
      <x:c r="X36" s="57"/>
      <x:c r="Y36" s="57"/>
      <x:c r="Z36" s="57"/>
      <x:c r="AA36" s="57"/>
      <x:c r="AB36" s="57"/>
      <x:c r="AC36" s="57"/>
      <x:c r="AD36" s="57"/>
    </x:row>
    <x:row r="37">
      <x:c r="A37" s="57"/>
      <x:c r="B37" s="57"/>
      <x:c r="C37" s="57" t="n">
        <x:v>36</x:v>
      </x:c>
      <x:c r="D37" s="57"/>
      <x:c r="E37" s="57"/>
      <x:c r="F37" s="57"/>
      <x:c r="G37" s="57"/>
      <x:c r="H37" s="57"/>
      <x:c r="I37" s="57"/>
      <x:c r="J37" s="57"/>
      <x:c r="K37" s="57" t="str">
        <x:f>IF(OR(I37="",J37=""),"",ABS(I37-J37))</x:f>
      </x:c>
      <x:c r="L37" s="57"/>
      <x:c r="M37" s="57"/>
      <x:c r="N37" s="57" t="str">
        <x:f>IF(OR(L37="",M37=""),"",ABS(L37-M37))</x:f>
      </x:c>
      <x:c r="O37" s="57"/>
      <x:c r="P37" s="57"/>
      <x:c r="Q37" s="57" t="str">
        <x:f>IF(OR(O37="",P37=""),"",ABS(O37-P37))</x:f>
      </x:c>
      <x:c r="R37" s="57"/>
      <x:c r="S37" s="57"/>
      <x:c r="T37" s="57"/>
      <x:c r="U37" s="57"/>
      <x:c r="V37" s="57"/>
      <x:c r="W37" s="57"/>
      <x:c r="X37" s="57"/>
      <x:c r="Y37" s="57"/>
      <x:c r="Z37" s="57"/>
      <x:c r="AA37" s="57"/>
      <x:c r="AB37" s="57"/>
      <x:c r="AC37" s="57"/>
      <x:c r="AD37" s="57"/>
    </x:row>
    <x:row r="38">
      <x:c r="A38" s="57"/>
      <x:c r="B38" s="57"/>
      <x:c r="C38" s="57" t="n">
        <x:v>37</x:v>
      </x:c>
      <x:c r="D38" s="57"/>
      <x:c r="E38" s="57"/>
      <x:c r="F38" s="57"/>
      <x:c r="G38" s="57"/>
      <x:c r="H38" s="57"/>
      <x:c r="I38" s="57"/>
      <x:c r="J38" s="57"/>
      <x:c r="K38" s="57" t="str">
        <x:f>IF(OR(I38="",J38=""),"",ABS(I38-J38))</x:f>
      </x:c>
      <x:c r="L38" s="57"/>
      <x:c r="M38" s="57"/>
      <x:c r="N38" s="57" t="str">
        <x:f>IF(OR(L38="",M38=""),"",ABS(L38-M38))</x:f>
      </x:c>
      <x:c r="O38" s="57"/>
      <x:c r="P38" s="57"/>
      <x:c r="Q38" s="57" t="str">
        <x:f>IF(OR(O38="",P38=""),"",ABS(O38-P38))</x:f>
      </x:c>
      <x:c r="R38" s="57"/>
      <x:c r="S38" s="57"/>
      <x:c r="T38" s="57"/>
      <x:c r="U38" s="57"/>
      <x:c r="V38" s="57"/>
      <x:c r="W38" s="57"/>
      <x:c r="X38" s="57"/>
      <x:c r="Y38" s="57"/>
      <x:c r="Z38" s="57"/>
      <x:c r="AA38" s="57"/>
      <x:c r="AB38" s="57"/>
      <x:c r="AC38" s="57"/>
      <x:c r="AD38" s="57"/>
    </x:row>
    <x:row r="39">
      <x:c r="A39" s="57"/>
      <x:c r="B39" s="57"/>
      <x:c r="C39" s="57" t="n">
        <x:v>38</x:v>
      </x:c>
      <x:c r="D39" s="57"/>
      <x:c r="E39" s="57"/>
      <x:c r="F39" s="57"/>
      <x:c r="G39" s="57"/>
      <x:c r="H39" s="57"/>
      <x:c r="I39" s="57"/>
      <x:c r="J39" s="57"/>
      <x:c r="K39" s="57" t="str">
        <x:f>IF(OR(I39="",J39=""),"",ABS(I39-J39))</x:f>
      </x:c>
      <x:c r="L39" s="57"/>
      <x:c r="M39" s="57"/>
      <x:c r="N39" s="57" t="str">
        <x:f>IF(OR(L39="",M39=""),"",ABS(L39-M39))</x:f>
      </x:c>
      <x:c r="O39" s="57"/>
      <x:c r="P39" s="57"/>
      <x:c r="Q39" s="57" t="str">
        <x:f>IF(OR(O39="",P39=""),"",ABS(O39-P39))</x:f>
      </x:c>
      <x:c r="R39" s="57"/>
      <x:c r="S39" s="57"/>
      <x:c r="T39" s="57"/>
      <x:c r="U39" s="57"/>
      <x:c r="V39" s="57"/>
      <x:c r="W39" s="57"/>
      <x:c r="X39" s="57"/>
      <x:c r="Y39" s="57"/>
      <x:c r="Z39" s="57"/>
      <x:c r="AA39" s="57"/>
      <x:c r="AB39" s="57"/>
      <x:c r="AC39" s="57"/>
      <x:c r="AD39" s="57"/>
    </x:row>
    <x:row r="40">
      <x:c r="A40" s="57"/>
      <x:c r="B40" s="57"/>
      <x:c r="C40" s="57" t="n">
        <x:v>39</x:v>
      </x:c>
      <x:c r="D40" s="57"/>
      <x:c r="E40" s="57"/>
      <x:c r="F40" s="57"/>
      <x:c r="G40" s="57"/>
      <x:c r="H40" s="57"/>
      <x:c r="I40" s="57"/>
      <x:c r="J40" s="57"/>
      <x:c r="K40" s="57" t="str">
        <x:f>IF(OR(I40="",J40=""),"",ABS(I40-J40))</x:f>
      </x:c>
      <x:c r="L40" s="57"/>
      <x:c r="M40" s="57"/>
      <x:c r="N40" s="57" t="str">
        <x:f>IF(OR(L40="",M40=""),"",ABS(L40-M40))</x:f>
      </x:c>
      <x:c r="O40" s="57"/>
      <x:c r="P40" s="57"/>
      <x:c r="Q40" s="57" t="str">
        <x:f>IF(OR(O40="",P40=""),"",ABS(O40-P40))</x:f>
      </x:c>
      <x:c r="R40" s="57"/>
      <x:c r="S40" s="57"/>
      <x:c r="T40" s="57"/>
      <x:c r="U40" s="57"/>
      <x:c r="V40" s="57"/>
      <x:c r="W40" s="57"/>
      <x:c r="X40" s="57"/>
      <x:c r="Y40" s="57"/>
      <x:c r="Z40" s="57"/>
      <x:c r="AA40" s="57"/>
      <x:c r="AB40" s="57"/>
      <x:c r="AC40" s="57"/>
      <x:c r="AD40" s="57"/>
    </x:row>
    <x:row r="41">
      <x:c r="A41" s="57"/>
      <x:c r="B41" s="57"/>
      <x:c r="C41" s="57" t="n">
        <x:v>40</x:v>
      </x:c>
      <x:c r="D41" s="57"/>
      <x:c r="E41" s="57"/>
      <x:c r="F41" s="57"/>
      <x:c r="G41" s="57"/>
      <x:c r="H41" s="57"/>
      <x:c r="I41" s="57"/>
      <x:c r="J41" s="57"/>
      <x:c r="K41" s="57" t="str">
        <x:f>IF(OR(I41="",J41=""),"",ABS(I41-J41))</x:f>
      </x:c>
      <x:c r="L41" s="57"/>
      <x:c r="M41" s="57"/>
      <x:c r="N41" s="57" t="str">
        <x:f>IF(OR(L41="",M41=""),"",ABS(L41-M41))</x:f>
      </x:c>
      <x:c r="O41" s="57"/>
      <x:c r="P41" s="57"/>
      <x:c r="Q41" s="57" t="str">
        <x:f>IF(OR(O41="",P41=""),"",ABS(O41-P41))</x:f>
      </x:c>
      <x:c r="R41" s="57"/>
      <x:c r="S41" s="57"/>
      <x:c r="T41" s="57"/>
      <x:c r="U41" s="57"/>
      <x:c r="V41" s="57"/>
      <x:c r="W41" s="57"/>
      <x:c r="X41" s="57"/>
      <x:c r="Y41" s="57"/>
      <x:c r="Z41" s="57"/>
      <x:c r="AA41" s="57"/>
      <x:c r="AB41" s="57"/>
      <x:c r="AC41" s="57"/>
      <x:c r="AD41" s="57"/>
    </x:row>
    <x:row r="42">
      <x:c r="A42" s="57"/>
      <x:c r="B42" s="57"/>
      <x:c r="C42" s="57" t="n">
        <x:v>41</x:v>
      </x:c>
      <x:c r="D42" s="57"/>
      <x:c r="E42" s="57"/>
      <x:c r="F42" s="57"/>
      <x:c r="G42" s="57"/>
      <x:c r="H42" s="57"/>
      <x:c r="I42" s="57"/>
      <x:c r="J42" s="57"/>
      <x:c r="K42" s="57" t="str">
        <x:f>IF(OR(I42="",J42=""),"",ABS(I42-J42))</x:f>
      </x:c>
      <x:c r="L42" s="57"/>
      <x:c r="M42" s="57"/>
      <x:c r="N42" s="57" t="str">
        <x:f>IF(OR(L42="",M42=""),"",ABS(L42-M42))</x:f>
      </x:c>
      <x:c r="O42" s="57"/>
      <x:c r="P42" s="57"/>
      <x:c r="Q42" s="57" t="str">
        <x:f>IF(OR(O42="",P42=""),"",ABS(O42-P42))</x:f>
      </x:c>
      <x:c r="R42" s="57"/>
      <x:c r="S42" s="57"/>
      <x:c r="T42" s="57"/>
      <x:c r="U42" s="57"/>
      <x:c r="V42" s="57"/>
      <x:c r="W42" s="57"/>
      <x:c r="X42" s="57"/>
      <x:c r="Y42" s="57"/>
      <x:c r="Z42" s="57"/>
      <x:c r="AA42" s="57"/>
      <x:c r="AB42" s="57"/>
      <x:c r="AC42" s="57"/>
      <x:c r="AD42" s="57"/>
    </x:row>
    <x:row r="43">
      <x:c r="A43" s="57"/>
      <x:c r="B43" s="57"/>
      <x:c r="C43" s="57" t="n">
        <x:v>42</x:v>
      </x:c>
      <x:c r="D43" s="57"/>
      <x:c r="E43" s="57"/>
      <x:c r="F43" s="57"/>
      <x:c r="G43" s="57"/>
      <x:c r="H43" s="57"/>
      <x:c r="I43" s="57"/>
      <x:c r="J43" s="57"/>
      <x:c r="K43" s="57" t="str">
        <x:f>IF(OR(I43="",J43=""),"",ABS(I43-J43))</x:f>
      </x:c>
      <x:c r="L43" s="57"/>
      <x:c r="M43" s="57"/>
      <x:c r="N43" s="57" t="str">
        <x:f>IF(OR(L43="",M43=""),"",ABS(L43-M43))</x:f>
      </x:c>
      <x:c r="O43" s="57"/>
      <x:c r="P43" s="57"/>
      <x:c r="Q43" s="57" t="str">
        <x:f>IF(OR(O43="",P43=""),"",ABS(O43-P43))</x:f>
      </x:c>
      <x:c r="R43" s="57"/>
      <x:c r="S43" s="57"/>
      <x:c r="T43" s="57"/>
      <x:c r="U43" s="57"/>
      <x:c r="V43" s="57"/>
      <x:c r="W43" s="57"/>
      <x:c r="X43" s="57"/>
      <x:c r="Y43" s="57"/>
      <x:c r="Z43" s="57"/>
      <x:c r="AA43" s="57"/>
      <x:c r="AB43" s="57"/>
      <x:c r="AC43" s="57"/>
      <x:c r="AD43" s="57"/>
    </x:row>
    <x:row r="44">
      <x:c r="A44" s="57"/>
      <x:c r="B44" s="57"/>
      <x:c r="C44" s="57" t="n">
        <x:v>43</x:v>
      </x:c>
      <x:c r="D44" s="57"/>
      <x:c r="E44" s="57"/>
      <x:c r="F44" s="57"/>
      <x:c r="G44" s="57"/>
      <x:c r="H44" s="57"/>
      <x:c r="I44" s="57"/>
      <x:c r="J44" s="57"/>
      <x:c r="K44" s="57" t="str">
        <x:f>IF(OR(I44="",J44=""),"",ABS(I44-J44))</x:f>
      </x:c>
      <x:c r="L44" s="57"/>
      <x:c r="M44" s="57"/>
      <x:c r="N44" s="57" t="str">
        <x:f>IF(OR(L44="",M44=""),"",ABS(L44-M44))</x:f>
      </x:c>
      <x:c r="O44" s="57"/>
      <x:c r="P44" s="57"/>
      <x:c r="Q44" s="57" t="str">
        <x:f>IF(OR(O44="",P44=""),"",ABS(O44-P44))</x:f>
      </x:c>
      <x:c r="R44" s="57"/>
      <x:c r="S44" s="57"/>
      <x:c r="T44" s="57"/>
      <x:c r="U44" s="57"/>
      <x:c r="V44" s="57"/>
      <x:c r="W44" s="57"/>
      <x:c r="X44" s="57"/>
      <x:c r="Y44" s="57"/>
      <x:c r="Z44" s="57"/>
      <x:c r="AA44" s="57"/>
      <x:c r="AB44" s="57"/>
      <x:c r="AC44" s="57"/>
      <x:c r="AD44" s="57"/>
    </x:row>
    <x:row r="45">
      <x:c r="A45" s="57"/>
      <x:c r="B45" s="57"/>
      <x:c r="C45" s="57" t="n">
        <x:v>44</x:v>
      </x:c>
      <x:c r="D45" s="57"/>
      <x:c r="E45" s="57"/>
      <x:c r="F45" s="57"/>
      <x:c r="G45" s="57"/>
      <x:c r="H45" s="57"/>
      <x:c r="I45" s="57"/>
      <x:c r="J45" s="57"/>
      <x:c r="K45" s="57" t="str">
        <x:f>IF(OR(I45="",J45=""),"",ABS(I45-J45))</x:f>
      </x:c>
      <x:c r="L45" s="57"/>
      <x:c r="M45" s="57"/>
      <x:c r="N45" s="57" t="str">
        <x:f>IF(OR(L45="",M45=""),"",ABS(L45-M45))</x:f>
      </x:c>
      <x:c r="O45" s="57"/>
      <x:c r="P45" s="57"/>
      <x:c r="Q45" s="57" t="str">
        <x:f>IF(OR(O45="",P45=""),"",ABS(O45-P45))</x:f>
      </x:c>
      <x:c r="R45" s="57"/>
      <x:c r="S45" s="57"/>
      <x:c r="T45" s="57"/>
      <x:c r="U45" s="57"/>
      <x:c r="V45" s="57"/>
      <x:c r="W45" s="57"/>
      <x:c r="X45" s="57"/>
      <x:c r="Y45" s="57"/>
      <x:c r="Z45" s="57"/>
      <x:c r="AA45" s="57"/>
      <x:c r="AB45" s="57"/>
      <x:c r="AC45" s="57"/>
      <x:c r="AD45" s="57"/>
    </x:row>
    <x:row r="46">
      <x:c r="A46" s="57"/>
      <x:c r="B46" s="57"/>
      <x:c r="C46" s="57" t="n">
        <x:v>45</x:v>
      </x:c>
      <x:c r="D46" s="57"/>
      <x:c r="E46" s="57"/>
      <x:c r="F46" s="57"/>
      <x:c r="G46" s="57"/>
      <x:c r="H46" s="57"/>
      <x:c r="I46" s="57"/>
      <x:c r="J46" s="57"/>
      <x:c r="K46" s="57" t="str">
        <x:f>IF(OR(I46="",J46=""),"",ABS(I46-J46))</x:f>
      </x:c>
      <x:c r="L46" s="57"/>
      <x:c r="M46" s="57"/>
      <x:c r="N46" s="57" t="str">
        <x:f>IF(OR(L46="",M46=""),"",ABS(L46-M46))</x:f>
      </x:c>
      <x:c r="O46" s="57"/>
      <x:c r="P46" s="57"/>
      <x:c r="Q46" s="57" t="str">
        <x:f>IF(OR(O46="",P46=""),"",ABS(O46-P46))</x:f>
      </x:c>
      <x:c r="R46" s="57"/>
      <x:c r="S46" s="57"/>
      <x:c r="T46" s="57"/>
      <x:c r="U46" s="57"/>
      <x:c r="V46" s="57"/>
      <x:c r="W46" s="57"/>
      <x:c r="X46" s="57"/>
      <x:c r="Y46" s="57"/>
      <x:c r="Z46" s="57"/>
      <x:c r="AA46" s="57"/>
      <x:c r="AB46" s="57"/>
      <x:c r="AC46" s="57"/>
      <x:c r="AD46" s="57"/>
    </x:row>
    <x:row r="47">
      <x:c r="A47" s="57"/>
      <x:c r="B47" s="57"/>
      <x:c r="C47" s="57" t="n">
        <x:v>46</x:v>
      </x:c>
      <x:c r="D47" s="57"/>
      <x:c r="E47" s="57"/>
      <x:c r="F47" s="57"/>
      <x:c r="G47" s="57"/>
      <x:c r="H47" s="57"/>
      <x:c r="I47" s="57"/>
      <x:c r="J47" s="57"/>
      <x:c r="K47" s="57" t="str">
        <x:f>IF(OR(I47="",J47=""),"",ABS(I47-J47))</x:f>
      </x:c>
      <x:c r="L47" s="57"/>
      <x:c r="M47" s="57"/>
      <x:c r="N47" s="57" t="str">
        <x:f>IF(OR(L47="",M47=""),"",ABS(L47-M47))</x:f>
      </x:c>
      <x:c r="O47" s="57"/>
      <x:c r="P47" s="57"/>
      <x:c r="Q47" s="57" t="str">
        <x:f>IF(OR(O47="",P47=""),"",ABS(O47-P47))</x:f>
      </x:c>
      <x:c r="R47" s="57"/>
      <x:c r="S47" s="57"/>
      <x:c r="T47" s="57"/>
      <x:c r="U47" s="57"/>
      <x:c r="V47" s="57"/>
      <x:c r="W47" s="57"/>
      <x:c r="X47" s="57"/>
      <x:c r="Y47" s="57"/>
      <x:c r="Z47" s="57"/>
      <x:c r="AA47" s="57"/>
      <x:c r="AB47" s="57"/>
      <x:c r="AC47" s="57"/>
      <x:c r="AD47" s="57"/>
    </x:row>
    <x:row r="48">
      <x:c r="A48" s="57"/>
      <x:c r="B48" s="57"/>
      <x:c r="C48" s="57" t="n">
        <x:v>47</x:v>
      </x:c>
      <x:c r="D48" s="57"/>
      <x:c r="E48" s="57"/>
      <x:c r="F48" s="57"/>
      <x:c r="G48" s="57"/>
      <x:c r="H48" s="57"/>
      <x:c r="I48" s="57"/>
      <x:c r="J48" s="57"/>
      <x:c r="K48" s="57" t="str">
        <x:f>IF(OR(I48="",J48=""),"",ABS(I48-J48))</x:f>
      </x:c>
      <x:c r="L48" s="57"/>
      <x:c r="M48" s="57"/>
      <x:c r="N48" s="57" t="str">
        <x:f>IF(OR(L48="",M48=""),"",ABS(L48-M48))</x:f>
      </x:c>
      <x:c r="O48" s="57"/>
      <x:c r="P48" s="57"/>
      <x:c r="Q48" s="57" t="str">
        <x:f>IF(OR(O48="",P48=""),"",ABS(O48-P48))</x:f>
      </x:c>
      <x:c r="R48" s="57"/>
      <x:c r="S48" s="57"/>
      <x:c r="T48" s="57"/>
      <x:c r="U48" s="57"/>
      <x:c r="V48" s="57"/>
      <x:c r="W48" s="57"/>
      <x:c r="X48" s="57"/>
      <x:c r="Y48" s="57"/>
      <x:c r="Z48" s="57"/>
      <x:c r="AA48" s="57"/>
      <x:c r="AB48" s="57"/>
      <x:c r="AC48" s="57"/>
      <x:c r="AD48" s="57"/>
    </x:row>
    <x:row r="49">
      <x:c r="A49" s="57"/>
      <x:c r="B49" s="57"/>
      <x:c r="C49" s="57" t="n">
        <x:v>48</x:v>
      </x:c>
      <x:c r="D49" s="57"/>
      <x:c r="E49" s="57"/>
      <x:c r="F49" s="57"/>
      <x:c r="G49" s="57"/>
      <x:c r="H49" s="57"/>
      <x:c r="I49" s="57"/>
      <x:c r="J49" s="57"/>
      <x:c r="K49" s="57" t="str">
        <x:f>IF(OR(I49="",J49=""),"",ABS(I49-J49))</x:f>
      </x:c>
      <x:c r="L49" s="57"/>
      <x:c r="M49" s="57"/>
      <x:c r="N49" s="57" t="str">
        <x:f>IF(OR(L49="",M49=""),"",ABS(L49-M49))</x:f>
      </x:c>
      <x:c r="O49" s="57"/>
      <x:c r="P49" s="57"/>
      <x:c r="Q49" s="57" t="str">
        <x:f>IF(OR(O49="",P49=""),"",ABS(O49-P49))</x:f>
      </x:c>
      <x:c r="R49" s="57"/>
      <x:c r="S49" s="57"/>
      <x:c r="T49" s="57"/>
      <x:c r="U49" s="57"/>
      <x:c r="V49" s="57"/>
      <x:c r="W49" s="57"/>
      <x:c r="X49" s="57"/>
      <x:c r="Y49" s="57"/>
      <x:c r="Z49" s="57"/>
      <x:c r="AA49" s="57"/>
      <x:c r="AB49" s="57"/>
      <x:c r="AC49" s="57"/>
      <x:c r="AD49" s="57"/>
    </x:row>
    <x:row r="50">
      <x:c r="A50" s="57"/>
      <x:c r="B50" s="57"/>
      <x:c r="C50" s="57" t="n">
        <x:v>49</x:v>
      </x:c>
      <x:c r="D50" s="57"/>
      <x:c r="E50" s="57"/>
      <x:c r="F50" s="57"/>
      <x:c r="G50" s="57"/>
      <x:c r="H50" s="57"/>
      <x:c r="I50" s="57"/>
      <x:c r="J50" s="57"/>
      <x:c r="K50" s="57" t="str">
        <x:f>IF(OR(I50="",J50=""),"",ABS(I50-J50))</x:f>
      </x:c>
      <x:c r="L50" s="57"/>
      <x:c r="M50" s="57"/>
      <x:c r="N50" s="57" t="str">
        <x:f>IF(OR(L50="",M50=""),"",ABS(L50-M50))</x:f>
      </x:c>
      <x:c r="O50" s="57"/>
      <x:c r="P50" s="57"/>
      <x:c r="Q50" s="57" t="str">
        <x:f>IF(OR(O50="",P50=""),"",ABS(O50-P50))</x:f>
      </x:c>
      <x:c r="R50" s="57"/>
      <x:c r="S50" s="57"/>
      <x:c r="T50" s="57"/>
      <x:c r="U50" s="57"/>
      <x:c r="V50" s="57"/>
      <x:c r="W50" s="57"/>
      <x:c r="X50" s="57"/>
      <x:c r="Y50" s="57"/>
      <x:c r="Z50" s="57"/>
      <x:c r="AA50" s="57"/>
      <x:c r="AB50" s="57"/>
      <x:c r="AC50" s="57"/>
      <x:c r="AD50" s="57"/>
    </x:row>
    <x:row r="51">
      <x:c r="A51" s="57"/>
      <x:c r="B51" s="57"/>
      <x:c r="C51" s="57" t="n">
        <x:v>50</x:v>
      </x:c>
      <x:c r="D51" s="57"/>
      <x:c r="E51" s="57"/>
      <x:c r="F51" s="57"/>
      <x:c r="G51" s="57"/>
      <x:c r="H51" s="57"/>
      <x:c r="I51" s="57"/>
      <x:c r="J51" s="57"/>
      <x:c r="K51" s="57" t="str">
        <x:f>IF(OR(I51="",J51=""),"",ABS(I51-J51))</x:f>
      </x:c>
      <x:c r="L51" s="57"/>
      <x:c r="M51" s="57"/>
      <x:c r="N51" s="57" t="str">
        <x:f>IF(OR(L51="",M51=""),"",ABS(L51-M51))</x:f>
      </x:c>
      <x:c r="O51" s="57"/>
      <x:c r="P51" s="57"/>
      <x:c r="Q51" s="57" t="str">
        <x:f>IF(OR(O51="",P51=""),"",ABS(O51-P51))</x:f>
      </x:c>
      <x:c r="R51" s="57"/>
      <x:c r="S51" s="57"/>
      <x:c r="T51" s="57"/>
      <x:c r="U51" s="57"/>
      <x:c r="V51" s="57"/>
      <x:c r="W51" s="57"/>
      <x:c r="X51" s="57"/>
      <x:c r="Y51" s="57"/>
      <x:c r="Z51" s="57"/>
      <x:c r="AA51" s="57"/>
      <x:c r="AB51" s="57"/>
      <x:c r="AC51" s="57"/>
      <x:c r="AD51" s="57"/>
    </x:row>
    <x:row r="52">
      <x:c r="A52" s="57"/>
      <x:c r="B52" s="57"/>
      <x:c r="C52" s="57" t="n">
        <x:v>51</x:v>
      </x:c>
      <x:c r="D52" s="57"/>
      <x:c r="E52" s="57"/>
      <x:c r="F52" s="57"/>
      <x:c r="G52" s="57"/>
      <x:c r="H52" s="57"/>
      <x:c r="I52" s="57"/>
      <x:c r="J52" s="57"/>
      <x:c r="K52" s="57" t="str">
        <x:f>IF(OR(I52="",J52=""),"",ABS(I52-J52))</x:f>
      </x:c>
      <x:c r="L52" s="57"/>
      <x:c r="M52" s="57"/>
      <x:c r="N52" s="57" t="str">
        <x:f>IF(OR(L52="",M52=""),"",ABS(L52-M52))</x:f>
      </x:c>
      <x:c r="O52" s="57"/>
      <x:c r="P52" s="57"/>
      <x:c r="Q52" s="57" t="str">
        <x:f>IF(OR(O52="",P52=""),"",ABS(O52-P52))</x:f>
      </x:c>
      <x:c r="R52" s="57"/>
      <x:c r="S52" s="57"/>
      <x:c r="T52" s="57"/>
      <x:c r="U52" s="57"/>
      <x:c r="V52" s="57"/>
      <x:c r="W52" s="57"/>
      <x:c r="X52" s="57"/>
      <x:c r="Y52" s="57"/>
      <x:c r="Z52" s="57"/>
      <x:c r="AA52" s="57"/>
      <x:c r="AB52" s="57"/>
      <x:c r="AC52" s="57"/>
      <x:c r="AD52" s="57"/>
    </x:row>
    <x:row r="53">
      <x:c r="A53" s="57"/>
      <x:c r="B53" s="57"/>
      <x:c r="C53" s="57" t="n">
        <x:v>52</x:v>
      </x:c>
      <x:c r="D53" s="57"/>
      <x:c r="E53" s="57"/>
      <x:c r="F53" s="57"/>
      <x:c r="G53" s="57"/>
      <x:c r="H53" s="57"/>
      <x:c r="I53" s="57"/>
      <x:c r="J53" s="57"/>
      <x:c r="K53" s="57" t="str">
        <x:f>IF(OR(I53="",J53=""),"",ABS(I53-J53))</x:f>
      </x:c>
      <x:c r="L53" s="57"/>
      <x:c r="M53" s="57"/>
      <x:c r="N53" s="57" t="str">
        <x:f>IF(OR(L53="",M53=""),"",ABS(L53-M53))</x:f>
      </x:c>
      <x:c r="O53" s="57"/>
      <x:c r="P53" s="57"/>
      <x:c r="Q53" s="57" t="str">
        <x:f>IF(OR(O53="",P53=""),"",ABS(O53-P53))</x:f>
      </x:c>
      <x:c r="R53" s="57"/>
      <x:c r="S53" s="57"/>
      <x:c r="T53" s="57"/>
      <x:c r="U53" s="57"/>
      <x:c r="V53" s="57"/>
      <x:c r="W53" s="57"/>
      <x:c r="X53" s="57"/>
      <x:c r="Y53" s="57"/>
      <x:c r="Z53" s="57"/>
      <x:c r="AA53" s="57"/>
      <x:c r="AB53" s="57"/>
      <x:c r="AC53" s="57"/>
      <x:c r="AD53" s="57"/>
    </x:row>
    <x:row r="54">
      <x:c r="A54" s="57"/>
      <x:c r="B54" s="57"/>
      <x:c r="C54" s="57" t="n">
        <x:v>53</x:v>
      </x:c>
      <x:c r="D54" s="57"/>
      <x:c r="E54" s="57"/>
      <x:c r="F54" s="57"/>
      <x:c r="G54" s="57"/>
      <x:c r="H54" s="57"/>
      <x:c r="I54" s="57"/>
      <x:c r="J54" s="57"/>
      <x:c r="K54" s="57" t="str">
        <x:f>IF(OR(I54="",J54=""),"",ABS(I54-J54))</x:f>
      </x:c>
      <x:c r="L54" s="57"/>
      <x:c r="M54" s="57"/>
      <x:c r="N54" s="57" t="str">
        <x:f>IF(OR(L54="",M54=""),"",ABS(L54-M54))</x:f>
      </x:c>
      <x:c r="O54" s="57"/>
      <x:c r="P54" s="57"/>
      <x:c r="Q54" s="57" t="str">
        <x:f>IF(OR(O54="",P54=""),"",ABS(O54-P54))</x:f>
      </x:c>
      <x:c r="R54" s="57"/>
      <x:c r="S54" s="57"/>
      <x:c r="T54" s="57"/>
      <x:c r="U54" s="57"/>
      <x:c r="V54" s="57"/>
      <x:c r="W54" s="57"/>
      <x:c r="X54" s="57"/>
      <x:c r="Y54" s="57"/>
      <x:c r="Z54" s="57"/>
      <x:c r="AA54" s="57"/>
      <x:c r="AB54" s="57"/>
      <x:c r="AC54" s="57"/>
      <x:c r="AD54" s="57"/>
    </x:row>
    <x:row r="55">
      <x:c r="A55" s="57"/>
      <x:c r="B55" s="57"/>
      <x:c r="C55" s="57" t="n">
        <x:v>54</x:v>
      </x:c>
      <x:c r="D55" s="57"/>
      <x:c r="E55" s="57"/>
      <x:c r="F55" s="57"/>
      <x:c r="G55" s="57"/>
      <x:c r="H55" s="57"/>
      <x:c r="I55" s="57"/>
      <x:c r="J55" s="57"/>
      <x:c r="K55" s="57" t="str">
        <x:f>IF(OR(I55="",J55=""),"",ABS(I55-J55))</x:f>
      </x:c>
      <x:c r="L55" s="57"/>
      <x:c r="M55" s="57"/>
      <x:c r="N55" s="57" t="str">
        <x:f>IF(OR(L55="",M55=""),"",ABS(L55-M55))</x:f>
      </x:c>
      <x:c r="O55" s="57"/>
      <x:c r="P55" s="57"/>
      <x:c r="Q55" s="57" t="str">
        <x:f>IF(OR(O55="",P55=""),"",ABS(O55-P55))</x:f>
      </x:c>
      <x:c r="R55" s="57"/>
      <x:c r="S55" s="57"/>
      <x:c r="T55" s="57"/>
      <x:c r="U55" s="57"/>
      <x:c r="V55" s="57"/>
      <x:c r="W55" s="57"/>
      <x:c r="X55" s="57"/>
      <x:c r="Y55" s="57"/>
      <x:c r="Z55" s="57"/>
      <x:c r="AA55" s="57"/>
      <x:c r="AB55" s="57"/>
      <x:c r="AC55" s="57"/>
      <x:c r="AD55" s="57"/>
    </x:row>
    <x:row r="56">
      <x:c r="A56" s="57"/>
      <x:c r="B56" s="57"/>
      <x:c r="C56" s="57" t="n">
        <x:v>55</x:v>
      </x:c>
      <x:c r="D56" s="57"/>
      <x:c r="E56" s="57"/>
      <x:c r="F56" s="57"/>
      <x:c r="G56" s="57"/>
      <x:c r="H56" s="57"/>
      <x:c r="I56" s="57"/>
      <x:c r="J56" s="57"/>
      <x:c r="K56" s="57" t="str">
        <x:f>IF(OR(I56="",J56=""),"",ABS(I56-J56))</x:f>
      </x:c>
      <x:c r="L56" s="57"/>
      <x:c r="M56" s="57"/>
      <x:c r="N56" s="57" t="str">
        <x:f>IF(OR(L56="",M56=""),"",ABS(L56-M56))</x:f>
      </x:c>
      <x:c r="O56" s="57"/>
      <x:c r="P56" s="57"/>
      <x:c r="Q56" s="57" t="str">
        <x:f>IF(OR(O56="",P56=""),"",ABS(O56-P56))</x:f>
      </x:c>
      <x:c r="R56" s="57"/>
      <x:c r="S56" s="57"/>
      <x:c r="T56" s="57"/>
      <x:c r="U56" s="57"/>
      <x:c r="V56" s="57"/>
      <x:c r="W56" s="57"/>
      <x:c r="X56" s="57"/>
      <x:c r="Y56" s="57"/>
      <x:c r="Z56" s="57"/>
      <x:c r="AA56" s="57"/>
      <x:c r="AB56" s="57"/>
      <x:c r="AC56" s="57"/>
      <x:c r="AD56" s="57"/>
    </x:row>
    <x:row r="57">
      <x:c r="A57" s="57"/>
      <x:c r="B57" s="57"/>
      <x:c r="C57" s="57" t="n">
        <x:v>56</x:v>
      </x:c>
      <x:c r="D57" s="57"/>
      <x:c r="E57" s="57"/>
      <x:c r="F57" s="57"/>
      <x:c r="G57" s="57"/>
      <x:c r="H57" s="57"/>
      <x:c r="I57" s="57"/>
      <x:c r="J57" s="57"/>
      <x:c r="K57" s="57" t="str">
        <x:f>IF(OR(I57="",J57=""),"",ABS(I57-J57))</x:f>
      </x:c>
      <x:c r="L57" s="57"/>
      <x:c r="M57" s="57"/>
      <x:c r="N57" s="57" t="str">
        <x:f>IF(OR(L57="",M57=""),"",ABS(L57-M57))</x:f>
      </x:c>
      <x:c r="O57" s="57"/>
      <x:c r="P57" s="57"/>
      <x:c r="Q57" s="57" t="str">
        <x:f>IF(OR(O57="",P57=""),"",ABS(O57-P57))</x:f>
      </x:c>
      <x:c r="R57" s="57"/>
      <x:c r="S57" s="57"/>
      <x:c r="T57" s="57"/>
      <x:c r="U57" s="57"/>
      <x:c r="V57" s="57"/>
      <x:c r="W57" s="57"/>
      <x:c r="X57" s="57"/>
      <x:c r="Y57" s="57"/>
      <x:c r="Z57" s="57"/>
      <x:c r="AA57" s="57"/>
      <x:c r="AB57" s="57"/>
      <x:c r="AC57" s="57"/>
      <x:c r="AD57" s="57"/>
    </x:row>
    <x:row r="58">
      <x:c r="A58" s="57"/>
      <x:c r="B58" s="57"/>
      <x:c r="C58" s="57" t="n">
        <x:v>57</x:v>
      </x:c>
      <x:c r="D58" s="57"/>
      <x:c r="E58" s="57"/>
      <x:c r="F58" s="57"/>
      <x:c r="G58" s="57"/>
      <x:c r="H58" s="57"/>
      <x:c r="I58" s="57"/>
      <x:c r="J58" s="57"/>
      <x:c r="K58" s="57" t="str">
        <x:f>IF(OR(I58="",J58=""),"",ABS(I58-J58))</x:f>
      </x:c>
      <x:c r="L58" s="57"/>
      <x:c r="M58" s="57"/>
      <x:c r="N58" s="57" t="str">
        <x:f>IF(OR(L58="",M58=""),"",ABS(L58-M58))</x:f>
      </x:c>
      <x:c r="O58" s="57"/>
      <x:c r="P58" s="57"/>
      <x:c r="Q58" s="57" t="str">
        <x:f>IF(OR(O58="",P58=""),"",ABS(O58-P58))</x:f>
      </x:c>
      <x:c r="R58" s="57"/>
      <x:c r="S58" s="57"/>
      <x:c r="T58" s="57"/>
      <x:c r="U58" s="57"/>
      <x:c r="V58" s="57"/>
      <x:c r="W58" s="57"/>
      <x:c r="X58" s="57"/>
      <x:c r="Y58" s="57"/>
      <x:c r="Z58" s="57"/>
      <x:c r="AA58" s="57"/>
      <x:c r="AB58" s="57"/>
      <x:c r="AC58" s="57"/>
      <x:c r="AD58" s="57"/>
    </x:row>
    <x:row r="59">
      <x:c r="A59" s="57"/>
      <x:c r="B59" s="57"/>
      <x:c r="C59" s="57" t="n">
        <x:v>58</x:v>
      </x:c>
      <x:c r="D59" s="57"/>
      <x:c r="E59" s="57"/>
      <x:c r="F59" s="57"/>
      <x:c r="G59" s="57"/>
      <x:c r="H59" s="57"/>
      <x:c r="I59" s="57"/>
      <x:c r="J59" s="57"/>
      <x:c r="K59" s="57" t="str">
        <x:f>IF(OR(I59="",J59=""),"",ABS(I59-J59))</x:f>
      </x:c>
      <x:c r="L59" s="57"/>
      <x:c r="M59" s="57"/>
      <x:c r="N59" s="57" t="str">
        <x:f>IF(OR(L59="",M59=""),"",ABS(L59-M59))</x:f>
      </x:c>
      <x:c r="O59" s="57"/>
      <x:c r="P59" s="57"/>
      <x:c r="Q59" s="57" t="str">
        <x:f>IF(OR(O59="",P59=""),"",ABS(O59-P59))</x:f>
      </x:c>
      <x:c r="R59" s="57"/>
      <x:c r="S59" s="57"/>
      <x:c r="T59" s="57"/>
      <x:c r="U59" s="57"/>
      <x:c r="V59" s="57"/>
      <x:c r="W59" s="57"/>
      <x:c r="X59" s="57"/>
      <x:c r="Y59" s="57"/>
      <x:c r="Z59" s="57"/>
      <x:c r="AA59" s="57"/>
      <x:c r="AB59" s="57"/>
      <x:c r="AC59" s="57"/>
      <x:c r="AD59" s="57"/>
    </x:row>
    <x:row r="60">
      <x:c r="A60" s="57"/>
      <x:c r="B60" s="57"/>
      <x:c r="C60" s="57" t="n">
        <x:v>59</x:v>
      </x:c>
      <x:c r="D60" s="57"/>
      <x:c r="E60" s="57"/>
      <x:c r="F60" s="57"/>
      <x:c r="G60" s="57"/>
      <x:c r="H60" s="57"/>
      <x:c r="I60" s="57"/>
      <x:c r="J60" s="57"/>
      <x:c r="K60" s="57" t="str">
        <x:f>IF(OR(I60="",J60=""),"",ABS(I60-J60))</x:f>
      </x:c>
      <x:c r="L60" s="57"/>
      <x:c r="M60" s="57"/>
      <x:c r="N60" s="57" t="str">
        <x:f>IF(OR(L60="",M60=""),"",ABS(L60-M60))</x:f>
      </x:c>
      <x:c r="O60" s="57"/>
      <x:c r="P60" s="57"/>
      <x:c r="Q60" s="57" t="str">
        <x:f>IF(OR(O60="",P60=""),"",ABS(O60-P60))</x:f>
      </x:c>
      <x:c r="R60" s="57"/>
      <x:c r="S60" s="57"/>
      <x:c r="T60" s="57"/>
      <x:c r="U60" s="57"/>
      <x:c r="V60" s="57"/>
      <x:c r="W60" s="57"/>
      <x:c r="X60" s="57"/>
      <x:c r="Y60" s="57"/>
      <x:c r="Z60" s="57"/>
      <x:c r="AA60" s="57"/>
      <x:c r="AB60" s="57"/>
      <x:c r="AC60" s="57"/>
      <x:c r="AD60" s="57"/>
    </x:row>
    <x:row r="61">
      <x:c r="A61" s="57"/>
      <x:c r="B61" s="57"/>
      <x:c r="C61" s="57" t="n">
        <x:v>60</x:v>
      </x:c>
      <x:c r="D61" s="57"/>
      <x:c r="E61" s="57"/>
      <x:c r="F61" s="57"/>
      <x:c r="G61" s="57"/>
      <x:c r="H61" s="57"/>
      <x:c r="I61" s="57"/>
      <x:c r="J61" s="57"/>
      <x:c r="K61" s="57" t="str">
        <x:f>IF(OR(I61="",J61=""),"",ABS(I61-J61))</x:f>
      </x:c>
      <x:c r="L61" s="57"/>
      <x:c r="M61" s="57"/>
      <x:c r="N61" s="57" t="str">
        <x:f>IF(OR(L61="",M61=""),"",ABS(L61-M61))</x:f>
      </x:c>
      <x:c r="O61" s="57"/>
      <x:c r="P61" s="57"/>
      <x:c r="Q61" s="57" t="str">
        <x:f>IF(OR(O61="",P61=""),"",ABS(O61-P61))</x:f>
      </x:c>
      <x:c r="R61" s="57"/>
      <x:c r="S61" s="57"/>
      <x:c r="T61" s="57"/>
      <x:c r="U61" s="57"/>
      <x:c r="V61" s="57"/>
      <x:c r="W61" s="57"/>
      <x:c r="X61" s="57"/>
      <x:c r="Y61" s="57"/>
      <x:c r="Z61" s="57"/>
      <x:c r="AA61" s="57"/>
      <x:c r="AB61" s="57"/>
      <x:c r="AC61" s="57"/>
      <x:c r="AD61" s="57"/>
    </x:row>
    <x:row r="62">
      <x:c r="A62" s="57"/>
      <x:c r="B62" s="57"/>
      <x:c r="C62" s="57" t="n">
        <x:v>61</x:v>
      </x:c>
      <x:c r="D62" s="57"/>
      <x:c r="E62" s="57"/>
      <x:c r="F62" s="57"/>
      <x:c r="G62" s="57"/>
      <x:c r="H62" s="57"/>
      <x:c r="I62" s="57"/>
      <x:c r="J62" s="57"/>
      <x:c r="K62" s="57" t="str">
        <x:f>IF(OR(I62="",J62=""),"",ABS(I62-J62))</x:f>
      </x:c>
      <x:c r="L62" s="57"/>
      <x:c r="M62" s="57"/>
      <x:c r="N62" s="57" t="str">
        <x:f>IF(OR(L62="",M62=""),"",ABS(L62-M62))</x:f>
      </x:c>
      <x:c r="O62" s="57"/>
      <x:c r="P62" s="57"/>
      <x:c r="Q62" s="57" t="str">
        <x:f>IF(OR(O62="",P62=""),"",ABS(O62-P62))</x:f>
      </x:c>
      <x:c r="R62" s="57"/>
      <x:c r="S62" s="57"/>
      <x:c r="T62" s="57"/>
      <x:c r="U62" s="57"/>
      <x:c r="V62" s="57"/>
      <x:c r="W62" s="57"/>
      <x:c r="X62" s="57"/>
      <x:c r="Y62" s="57"/>
      <x:c r="Z62" s="57"/>
      <x:c r="AA62" s="57"/>
      <x:c r="AB62" s="57"/>
      <x:c r="AC62" s="57"/>
      <x:c r="AD62" s="57"/>
    </x:row>
    <x:row r="63">
      <x:c r="A63" s="57"/>
      <x:c r="B63" s="57"/>
      <x:c r="C63" s="57" t="n">
        <x:v>62</x:v>
      </x:c>
      <x:c r="D63" s="57"/>
      <x:c r="E63" s="57"/>
      <x:c r="F63" s="57"/>
      <x:c r="G63" s="57"/>
      <x:c r="H63" s="57"/>
      <x:c r="I63" s="57"/>
      <x:c r="J63" s="57"/>
      <x:c r="K63" s="57" t="str">
        <x:f>IF(OR(I63="",J63=""),"",ABS(I63-J63))</x:f>
      </x:c>
      <x:c r="L63" s="57"/>
      <x:c r="M63" s="57"/>
      <x:c r="N63" s="57" t="str">
        <x:f>IF(OR(L63="",M63=""),"",ABS(L63-M63))</x:f>
      </x:c>
      <x:c r="O63" s="57"/>
      <x:c r="P63" s="57"/>
      <x:c r="Q63" s="57" t="str">
        <x:f>IF(OR(O63="",P63=""),"",ABS(O63-P63))</x:f>
      </x:c>
      <x:c r="R63" s="57"/>
      <x:c r="S63" s="57"/>
      <x:c r="T63" s="57"/>
      <x:c r="U63" s="57"/>
      <x:c r="V63" s="57"/>
      <x:c r="W63" s="57"/>
      <x:c r="X63" s="57"/>
      <x:c r="Y63" s="57"/>
      <x:c r="Z63" s="57"/>
      <x:c r="AA63" s="57"/>
      <x:c r="AB63" s="57"/>
      <x:c r="AC63" s="57"/>
      <x:c r="AD63" s="57"/>
    </x:row>
    <x:row r="64">
      <x:c r="A64" s="57"/>
      <x:c r="B64" s="57"/>
      <x:c r="C64" s="57" t="n">
        <x:v>63</x:v>
      </x:c>
      <x:c r="D64" s="57"/>
      <x:c r="E64" s="57"/>
      <x:c r="F64" s="57"/>
      <x:c r="G64" s="57"/>
      <x:c r="H64" s="57"/>
      <x:c r="I64" s="57"/>
      <x:c r="J64" s="57"/>
      <x:c r="K64" s="57" t="str">
        <x:f>IF(OR(I64="",J64=""),"",ABS(I64-J64))</x:f>
      </x:c>
      <x:c r="L64" s="57"/>
      <x:c r="M64" s="57"/>
      <x:c r="N64" s="57" t="str">
        <x:f>IF(OR(L64="",M64=""),"",ABS(L64-M64))</x:f>
      </x:c>
      <x:c r="O64" s="57"/>
      <x:c r="P64" s="57"/>
      <x:c r="Q64" s="57" t="str">
        <x:f>IF(OR(O64="",P64=""),"",ABS(O64-P64))</x:f>
      </x:c>
      <x:c r="R64" s="57"/>
      <x:c r="S64" s="57"/>
      <x:c r="T64" s="57"/>
      <x:c r="U64" s="57"/>
      <x:c r="V64" s="57"/>
      <x:c r="W64" s="57"/>
      <x:c r="X64" s="57"/>
      <x:c r="Y64" s="57"/>
      <x:c r="Z64" s="57"/>
      <x:c r="AA64" s="57"/>
      <x:c r="AB64" s="57"/>
      <x:c r="AC64" s="57"/>
      <x:c r="AD64" s="57"/>
    </x:row>
    <x:row r="65">
      <x:c r="A65" s="57"/>
      <x:c r="B65" s="57"/>
      <x:c r="C65" s="57" t="n">
        <x:v>64</x:v>
      </x:c>
      <x:c r="D65" s="57"/>
      <x:c r="E65" s="57"/>
      <x:c r="F65" s="57"/>
      <x:c r="G65" s="57"/>
      <x:c r="H65" s="57"/>
      <x:c r="I65" s="57"/>
      <x:c r="J65" s="57"/>
      <x:c r="K65" s="57" t="str">
        <x:f>IF(OR(I65="",J65=""),"",ABS(I65-J65))</x:f>
      </x:c>
      <x:c r="L65" s="57"/>
      <x:c r="M65" s="57"/>
      <x:c r="N65" s="57" t="str">
        <x:f>IF(OR(L65="",M65=""),"",ABS(L65-M65))</x:f>
      </x:c>
      <x:c r="O65" s="57"/>
      <x:c r="P65" s="57"/>
      <x:c r="Q65" s="57" t="str">
        <x:f>IF(OR(O65="",P65=""),"",ABS(O65-P65))</x:f>
      </x:c>
      <x:c r="R65" s="57"/>
      <x:c r="S65" s="57"/>
      <x:c r="T65" s="57"/>
      <x:c r="U65" s="57"/>
      <x:c r="V65" s="57"/>
      <x:c r="W65" s="57"/>
      <x:c r="X65" s="57"/>
      <x:c r="Y65" s="57"/>
      <x:c r="Z65" s="57"/>
      <x:c r="AA65" s="57"/>
      <x:c r="AB65" s="57"/>
      <x:c r="AC65" s="57"/>
      <x:c r="AD65" s="57"/>
    </x:row>
    <x:row r="66">
      <x:c r="A66" s="57"/>
      <x:c r="B66" s="57"/>
      <x:c r="C66" s="57" t="n">
        <x:v>65</x:v>
      </x:c>
      <x:c r="D66" s="57"/>
      <x:c r="E66" s="57"/>
      <x:c r="F66" s="57"/>
      <x:c r="G66" s="57"/>
      <x:c r="H66" s="57"/>
      <x:c r="I66" s="57"/>
      <x:c r="J66" s="57"/>
      <x:c r="K66" s="57" t="str">
        <x:f>IF(OR(I66="",J66=""),"",ABS(I66-J66))</x:f>
      </x:c>
      <x:c r="L66" s="57"/>
      <x:c r="M66" s="57"/>
      <x:c r="N66" s="57" t="str">
        <x:f>IF(OR(L66="",M66=""),"",ABS(L66-M66))</x:f>
      </x:c>
      <x:c r="O66" s="57"/>
      <x:c r="P66" s="57"/>
      <x:c r="Q66" s="57" t="str">
        <x:f>IF(OR(O66="",P66=""),"",ABS(O66-P66))</x:f>
      </x:c>
      <x:c r="R66" s="57"/>
      <x:c r="S66" s="57"/>
      <x:c r="T66" s="57"/>
      <x:c r="U66" s="57"/>
      <x:c r="V66" s="57"/>
      <x:c r="W66" s="57"/>
      <x:c r="X66" s="57"/>
      <x:c r="Y66" s="57"/>
      <x:c r="Z66" s="57"/>
      <x:c r="AA66" s="57"/>
      <x:c r="AB66" s="57"/>
      <x:c r="AC66" s="57"/>
      <x:c r="AD66" s="57"/>
    </x:row>
    <x:row r="67">
      <x:c r="A67" s="57"/>
      <x:c r="B67" s="57"/>
      <x:c r="C67" s="57" t="n">
        <x:v>66</x:v>
      </x:c>
      <x:c r="D67" s="57"/>
      <x:c r="E67" s="57"/>
      <x:c r="F67" s="57"/>
      <x:c r="G67" s="57"/>
      <x:c r="H67" s="57"/>
      <x:c r="I67" s="57"/>
      <x:c r="J67" s="57"/>
      <x:c r="K67" s="57" t="str">
        <x:f>IF(OR(I67="",J67=""),"",ABS(I67-J67))</x:f>
      </x:c>
      <x:c r="L67" s="57"/>
      <x:c r="M67" s="57"/>
      <x:c r="N67" s="57" t="str">
        <x:f>IF(OR(L67="",M67=""),"",ABS(L67-M67))</x:f>
      </x:c>
      <x:c r="O67" s="57"/>
      <x:c r="P67" s="57"/>
      <x:c r="Q67" s="57" t="str">
        <x:f>IF(OR(O67="",P67=""),"",ABS(O67-P67))</x:f>
      </x:c>
      <x:c r="R67" s="57"/>
      <x:c r="S67" s="57"/>
      <x:c r="T67" s="57"/>
      <x:c r="U67" s="57"/>
      <x:c r="V67" s="57"/>
      <x:c r="W67" s="57"/>
      <x:c r="X67" s="57"/>
      <x:c r="Y67" s="57"/>
      <x:c r="Z67" s="57"/>
      <x:c r="AA67" s="57"/>
      <x:c r="AB67" s="57"/>
      <x:c r="AC67" s="57"/>
      <x:c r="AD67" s="57"/>
    </x:row>
    <x:row r="68">
      <x:c r="A68" s="57"/>
      <x:c r="B68" s="57"/>
      <x:c r="C68" s="57" t="n">
        <x:v>67</x:v>
      </x:c>
      <x:c r="D68" s="57"/>
      <x:c r="E68" s="57"/>
      <x:c r="F68" s="57"/>
      <x:c r="G68" s="57"/>
      <x:c r="H68" s="57"/>
      <x:c r="I68" s="57"/>
      <x:c r="J68" s="57"/>
      <x:c r="K68" s="57" t="str">
        <x:f>IF(OR(I68="",J68=""),"",ABS(I68-J68))</x:f>
      </x:c>
      <x:c r="L68" s="57"/>
      <x:c r="M68" s="57"/>
      <x:c r="N68" s="57" t="str">
        <x:f>IF(OR(L68="",M68=""),"",ABS(L68-M68))</x:f>
      </x:c>
      <x:c r="O68" s="57"/>
      <x:c r="P68" s="57"/>
      <x:c r="Q68" s="57" t="str">
        <x:f>IF(OR(O68="",P68=""),"",ABS(O68-P68))</x:f>
      </x:c>
      <x:c r="R68" s="57"/>
      <x:c r="S68" s="57"/>
      <x:c r="T68" s="57"/>
      <x:c r="U68" s="57"/>
      <x:c r="V68" s="57"/>
      <x:c r="W68" s="57"/>
      <x:c r="X68" s="57"/>
      <x:c r="Y68" s="57"/>
      <x:c r="Z68" s="57"/>
      <x:c r="AA68" s="57"/>
      <x:c r="AB68" s="57"/>
      <x:c r="AC68" s="57"/>
      <x:c r="AD68" s="57"/>
    </x:row>
    <x:row r="69">
      <x:c r="A69" s="57"/>
      <x:c r="B69" s="57"/>
      <x:c r="C69" s="57" t="n">
        <x:v>68</x:v>
      </x:c>
      <x:c r="D69" s="57"/>
      <x:c r="E69" s="57"/>
      <x:c r="F69" s="57"/>
      <x:c r="G69" s="57"/>
      <x:c r="H69" s="57"/>
      <x:c r="I69" s="57"/>
      <x:c r="J69" s="57"/>
      <x:c r="K69" s="57" t="str">
        <x:f>IF(OR(I69="",J69=""),"",ABS(I69-J69))</x:f>
      </x:c>
      <x:c r="L69" s="57"/>
      <x:c r="M69" s="57"/>
      <x:c r="N69" s="57" t="str">
        <x:f>IF(OR(L69="",M69=""),"",ABS(L69-M69))</x:f>
      </x:c>
      <x:c r="O69" s="57"/>
      <x:c r="P69" s="57"/>
      <x:c r="Q69" s="57" t="str">
        <x:f>IF(OR(O69="",P69=""),"",ABS(O69-P69))</x:f>
      </x:c>
      <x:c r="R69" s="57"/>
      <x:c r="S69" s="57"/>
      <x:c r="T69" s="57"/>
      <x:c r="U69" s="57"/>
      <x:c r="V69" s="57"/>
      <x:c r="W69" s="57"/>
      <x:c r="X69" s="57"/>
      <x:c r="Y69" s="57"/>
      <x:c r="Z69" s="57"/>
      <x:c r="AA69" s="57"/>
      <x:c r="AB69" s="57"/>
      <x:c r="AC69" s="57"/>
      <x:c r="AD69" s="57"/>
    </x:row>
    <x:row r="70">
      <x:c r="A70" s="57"/>
      <x:c r="B70" s="57"/>
      <x:c r="C70" s="57" t="n">
        <x:v>69</x:v>
      </x:c>
      <x:c r="D70" s="57"/>
      <x:c r="E70" s="57"/>
      <x:c r="F70" s="57"/>
      <x:c r="G70" s="57"/>
      <x:c r="H70" s="57"/>
      <x:c r="I70" s="57"/>
      <x:c r="J70" s="57"/>
      <x:c r="K70" s="57" t="str">
        <x:f>IF(OR(I70="",J70=""),"",ABS(I70-J70))</x:f>
      </x:c>
      <x:c r="L70" s="57"/>
      <x:c r="M70" s="57"/>
      <x:c r="N70" s="57" t="str">
        <x:f>IF(OR(L70="",M70=""),"",ABS(L70-M70))</x:f>
      </x:c>
      <x:c r="O70" s="57"/>
      <x:c r="P70" s="57"/>
      <x:c r="Q70" s="57" t="str">
        <x:f>IF(OR(O70="",P70=""),"",ABS(O70-P70))</x:f>
      </x:c>
      <x:c r="R70" s="57"/>
      <x:c r="S70" s="57"/>
      <x:c r="T70" s="57"/>
      <x:c r="U70" s="57"/>
      <x:c r="V70" s="57"/>
      <x:c r="W70" s="57"/>
      <x:c r="X70" s="57"/>
      <x:c r="Y70" s="57"/>
      <x:c r="Z70" s="57"/>
      <x:c r="AA70" s="57"/>
      <x:c r="AB70" s="57"/>
      <x:c r="AC70" s="57"/>
      <x:c r="AD70" s="57"/>
    </x:row>
    <x:row r="71">
      <x:c r="A71" s="57"/>
      <x:c r="B71" s="57"/>
      <x:c r="C71" s="57" t="n">
        <x:v>70</x:v>
      </x:c>
      <x:c r="D71" s="57"/>
      <x:c r="E71" s="57"/>
      <x:c r="F71" s="57"/>
      <x:c r="G71" s="57"/>
      <x:c r="H71" s="57"/>
      <x:c r="I71" s="57"/>
      <x:c r="J71" s="57"/>
      <x:c r="K71" s="57" t="str">
        <x:f>IF(OR(I71="",J71=""),"",ABS(I71-J71))</x:f>
      </x:c>
      <x:c r="L71" s="57"/>
      <x:c r="M71" s="57"/>
      <x:c r="N71" s="57" t="str">
        <x:f>IF(OR(L71="",M71=""),"",ABS(L71-M71))</x:f>
      </x:c>
      <x:c r="O71" s="57"/>
      <x:c r="P71" s="57"/>
      <x:c r="Q71" s="57" t="str">
        <x:f>IF(OR(O71="",P71=""),"",ABS(O71-P71))</x:f>
      </x:c>
      <x:c r="R71" s="57"/>
      <x:c r="S71" s="57"/>
      <x:c r="T71" s="57"/>
      <x:c r="U71" s="57"/>
      <x:c r="V71" s="57"/>
      <x:c r="W71" s="57"/>
      <x:c r="X71" s="57"/>
      <x:c r="Y71" s="57"/>
      <x:c r="Z71" s="57"/>
      <x:c r="AA71" s="57"/>
      <x:c r="AB71" s="57"/>
      <x:c r="AC71" s="57"/>
      <x:c r="AD71" s="57"/>
    </x:row>
    <x:row r="72">
      <x:c r="A72" s="57"/>
      <x:c r="B72" s="57"/>
      <x:c r="C72" s="57" t="n">
        <x:v>71</x:v>
      </x:c>
      <x:c r="D72" s="57"/>
      <x:c r="E72" s="57"/>
      <x:c r="F72" s="57"/>
      <x:c r="G72" s="57"/>
      <x:c r="H72" s="57"/>
      <x:c r="I72" s="57"/>
      <x:c r="J72" s="57"/>
      <x:c r="K72" s="57" t="str">
        <x:f>IF(OR(I72="",J72=""),"",ABS(I72-J72))</x:f>
      </x:c>
      <x:c r="L72" s="57"/>
      <x:c r="M72" s="57"/>
      <x:c r="N72" s="57" t="str">
        <x:f>IF(OR(L72="",M72=""),"",ABS(L72-M72))</x:f>
      </x:c>
      <x:c r="O72" s="57"/>
      <x:c r="P72" s="57"/>
      <x:c r="Q72" s="57" t="str">
        <x:f>IF(OR(O72="",P72=""),"",ABS(O72-P72))</x:f>
      </x:c>
      <x:c r="R72" s="57"/>
      <x:c r="S72" s="57"/>
      <x:c r="T72" s="57"/>
      <x:c r="U72" s="57"/>
      <x:c r="V72" s="57"/>
      <x:c r="W72" s="57"/>
      <x:c r="X72" s="57"/>
      <x:c r="Y72" s="57"/>
      <x:c r="Z72" s="57"/>
      <x:c r="AA72" s="57"/>
      <x:c r="AB72" s="57"/>
      <x:c r="AC72" s="57"/>
      <x:c r="AD72" s="57"/>
    </x:row>
    <x:row r="73">
      <x:c r="A73" s="57"/>
      <x:c r="B73" s="57"/>
      <x:c r="C73" s="57" t="n">
        <x:v>72</x:v>
      </x:c>
      <x:c r="D73" s="57"/>
      <x:c r="E73" s="57"/>
      <x:c r="F73" s="57"/>
      <x:c r="G73" s="57"/>
      <x:c r="H73" s="57"/>
      <x:c r="I73" s="57"/>
      <x:c r="J73" s="57"/>
      <x:c r="K73" s="57" t="str">
        <x:f>IF(OR(I73="",J73=""),"",ABS(I73-J73))</x:f>
      </x:c>
      <x:c r="L73" s="57"/>
      <x:c r="M73" s="57"/>
      <x:c r="N73" s="57" t="str">
        <x:f>IF(OR(L73="",M73=""),"",ABS(L73-M73))</x:f>
      </x:c>
      <x:c r="O73" s="57"/>
      <x:c r="P73" s="57"/>
      <x:c r="Q73" s="57" t="str">
        <x:f>IF(OR(O73="",P73=""),"",ABS(O73-P73))</x:f>
      </x:c>
      <x:c r="R73" s="57"/>
      <x:c r="S73" s="57"/>
      <x:c r="T73" s="57"/>
      <x:c r="U73" s="57"/>
      <x:c r="V73" s="57"/>
      <x:c r="W73" s="57"/>
      <x:c r="X73" s="57"/>
      <x:c r="Y73" s="57"/>
      <x:c r="Z73" s="57"/>
      <x:c r="AA73" s="57"/>
      <x:c r="AB73" s="57"/>
      <x:c r="AC73" s="57"/>
      <x:c r="AD73" s="57"/>
    </x:row>
    <x:row r="74">
      <x:c r="A74" s="57"/>
      <x:c r="B74" s="57"/>
      <x:c r="C74" s="57" t="n">
        <x:v>73</x:v>
      </x:c>
      <x:c r="D74" s="57"/>
      <x:c r="E74" s="57"/>
      <x:c r="F74" s="57"/>
      <x:c r="G74" s="57"/>
      <x:c r="H74" s="57"/>
      <x:c r="I74" s="57"/>
      <x:c r="J74" s="57"/>
      <x:c r="K74" s="57" t="str">
        <x:f>IF(OR(I74="",J74=""),"",ABS(I74-J74))</x:f>
      </x:c>
      <x:c r="L74" s="57"/>
      <x:c r="M74" s="57"/>
      <x:c r="N74" s="57" t="str">
        <x:f>IF(OR(L74="",M74=""),"",ABS(L74-M74))</x:f>
      </x:c>
      <x:c r="O74" s="57"/>
      <x:c r="P74" s="57"/>
      <x:c r="Q74" s="57" t="str">
        <x:f>IF(OR(O74="",P74=""),"",ABS(O74-P74))</x:f>
      </x:c>
      <x:c r="R74" s="57"/>
      <x:c r="S74" s="57"/>
      <x:c r="T74" s="57"/>
      <x:c r="U74" s="57"/>
      <x:c r="V74" s="57"/>
      <x:c r="W74" s="57"/>
      <x:c r="X74" s="57"/>
      <x:c r="Y74" s="57"/>
      <x:c r="Z74" s="57"/>
      <x:c r="AA74" s="57"/>
      <x:c r="AB74" s="57"/>
      <x:c r="AC74" s="57"/>
      <x:c r="AD74" s="57"/>
    </x:row>
    <x:row r="75">
      <x:c r="A75" s="57"/>
      <x:c r="B75" s="57"/>
      <x:c r="C75" s="57" t="n">
        <x:v>74</x:v>
      </x:c>
      <x:c r="D75" s="57"/>
      <x:c r="E75" s="57"/>
      <x:c r="F75" s="57"/>
      <x:c r="G75" s="57"/>
      <x:c r="H75" s="57"/>
      <x:c r="I75" s="57"/>
      <x:c r="J75" s="57"/>
      <x:c r="K75" s="57" t="str">
        <x:f>IF(OR(I75="",J75=""),"",ABS(I75-J75))</x:f>
      </x:c>
      <x:c r="L75" s="57"/>
      <x:c r="M75" s="57"/>
      <x:c r="N75" s="57" t="str">
        <x:f>IF(OR(L75="",M75=""),"",ABS(L75-M75))</x:f>
      </x:c>
      <x:c r="O75" s="57"/>
      <x:c r="P75" s="57"/>
      <x:c r="Q75" s="57" t="str">
        <x:f>IF(OR(O75="",P75=""),"",ABS(O75-P75))</x:f>
      </x:c>
      <x:c r="R75" s="57"/>
      <x:c r="S75" s="57"/>
      <x:c r="T75" s="57"/>
      <x:c r="U75" s="57"/>
      <x:c r="V75" s="57"/>
      <x:c r="W75" s="57"/>
      <x:c r="X75" s="57"/>
      <x:c r="Y75" s="57"/>
      <x:c r="Z75" s="57"/>
      <x:c r="AA75" s="57"/>
      <x:c r="AB75" s="57"/>
      <x:c r="AC75" s="57"/>
      <x:c r="AD75" s="57"/>
    </x:row>
    <x:row r="76">
      <x:c r="A76" s="57"/>
      <x:c r="B76" s="57"/>
      <x:c r="C76" s="57" t="n">
        <x:v>75</x:v>
      </x:c>
      <x:c r="D76" s="57"/>
      <x:c r="E76" s="57"/>
      <x:c r="F76" s="57"/>
      <x:c r="G76" s="57"/>
      <x:c r="H76" s="57"/>
      <x:c r="I76" s="57"/>
      <x:c r="J76" s="57"/>
      <x:c r="K76" s="57" t="str">
        <x:f>IF(OR(I76="",J76=""),"",ABS(I76-J76))</x:f>
      </x:c>
      <x:c r="L76" s="57"/>
      <x:c r="M76" s="57"/>
      <x:c r="N76" s="57" t="str">
        <x:f>IF(OR(L76="",M76=""),"",ABS(L76-M76))</x:f>
      </x:c>
      <x:c r="O76" s="57"/>
      <x:c r="P76" s="57"/>
      <x:c r="Q76" s="57" t="str">
        <x:f>IF(OR(O76="",P76=""),"",ABS(O76-P76))</x:f>
      </x:c>
      <x:c r="R76" s="57"/>
      <x:c r="S76" s="57"/>
      <x:c r="T76" s="57"/>
      <x:c r="U76" s="57"/>
      <x:c r="V76" s="57"/>
      <x:c r="W76" s="57"/>
      <x:c r="X76" s="57"/>
      <x:c r="Y76" s="57"/>
      <x:c r="Z76" s="57"/>
      <x:c r="AA76" s="57"/>
      <x:c r="AB76" s="57"/>
      <x:c r="AC76" s="57"/>
      <x:c r="AD76" s="57"/>
    </x:row>
    <x:row r="77">
      <x:c r="A77" s="57"/>
      <x:c r="B77" s="57"/>
      <x:c r="C77" s="57" t="n">
        <x:v>76</x:v>
      </x:c>
      <x:c r="D77" s="57"/>
      <x:c r="E77" s="57"/>
      <x:c r="F77" s="57"/>
      <x:c r="G77" s="57"/>
      <x:c r="H77" s="57"/>
      <x:c r="I77" s="57"/>
      <x:c r="J77" s="57"/>
      <x:c r="K77" s="57" t="str">
        <x:f>IF(OR(I77="",J77=""),"",ABS(I77-J77))</x:f>
      </x:c>
      <x:c r="L77" s="57"/>
      <x:c r="M77" s="57"/>
      <x:c r="N77" s="57" t="str">
        <x:f>IF(OR(L77="",M77=""),"",ABS(L77-M77))</x:f>
      </x:c>
      <x:c r="O77" s="57"/>
      <x:c r="P77" s="57"/>
      <x:c r="Q77" s="57" t="str">
        <x:f>IF(OR(O77="",P77=""),"",ABS(O77-P77))</x:f>
      </x:c>
      <x:c r="R77" s="57"/>
      <x:c r="S77" s="57"/>
      <x:c r="T77" s="57"/>
      <x:c r="U77" s="57"/>
      <x:c r="V77" s="57"/>
      <x:c r="W77" s="57"/>
      <x:c r="X77" s="57"/>
      <x:c r="Y77" s="57"/>
      <x:c r="Z77" s="57"/>
      <x:c r="AA77" s="57"/>
      <x:c r="AB77" s="57"/>
      <x:c r="AC77" s="57"/>
      <x:c r="AD77" s="57"/>
    </x:row>
    <x:row r="78">
      <x:c r="A78" s="57"/>
      <x:c r="B78" s="57"/>
      <x:c r="C78" s="57" t="n">
        <x:v>77</x:v>
      </x:c>
      <x:c r="D78" s="57"/>
      <x:c r="E78" s="57"/>
      <x:c r="F78" s="57"/>
      <x:c r="G78" s="57"/>
      <x:c r="H78" s="57"/>
      <x:c r="I78" s="57"/>
      <x:c r="J78" s="57"/>
      <x:c r="K78" s="57" t="str">
        <x:f>IF(OR(I78="",J78=""),"",ABS(I78-J78))</x:f>
      </x:c>
      <x:c r="L78" s="57"/>
      <x:c r="M78" s="57"/>
      <x:c r="N78" s="57" t="str">
        <x:f>IF(OR(L78="",M78=""),"",ABS(L78-M78))</x:f>
      </x:c>
      <x:c r="O78" s="57"/>
      <x:c r="P78" s="57"/>
      <x:c r="Q78" s="57" t="str">
        <x:f>IF(OR(O78="",P78=""),"",ABS(O78-P78))</x:f>
      </x:c>
      <x:c r="R78" s="57"/>
      <x:c r="S78" s="57"/>
      <x:c r="T78" s="57"/>
      <x:c r="U78" s="57"/>
      <x:c r="V78" s="57"/>
      <x:c r="W78" s="57"/>
      <x:c r="X78" s="57"/>
      <x:c r="Y78" s="57"/>
      <x:c r="Z78" s="57"/>
      <x:c r="AA78" s="57"/>
      <x:c r="AB78" s="57"/>
      <x:c r="AC78" s="57"/>
      <x:c r="AD78" s="57"/>
    </x:row>
    <x:row r="79">
      <x:c r="A79" s="57"/>
      <x:c r="B79" s="57"/>
      <x:c r="C79" s="57" t="n">
        <x:v>78</x:v>
      </x:c>
      <x:c r="D79" s="57"/>
      <x:c r="E79" s="57"/>
      <x:c r="F79" s="57"/>
      <x:c r="G79" s="57"/>
      <x:c r="H79" s="57"/>
      <x:c r="I79" s="57"/>
      <x:c r="J79" s="57"/>
      <x:c r="K79" s="57" t="str">
        <x:f>IF(OR(I79="",J79=""),"",ABS(I79-J79))</x:f>
      </x:c>
      <x:c r="L79" s="57"/>
      <x:c r="M79" s="57"/>
      <x:c r="N79" s="57" t="str">
        <x:f>IF(OR(L79="",M79=""),"",ABS(L79-M79))</x:f>
      </x:c>
      <x:c r="O79" s="57"/>
      <x:c r="P79" s="57"/>
      <x:c r="Q79" s="57" t="str">
        <x:f>IF(OR(O79="",P79=""),"",ABS(O79-P79))</x:f>
      </x:c>
      <x:c r="R79" s="57"/>
      <x:c r="S79" s="57"/>
      <x:c r="T79" s="57"/>
      <x:c r="U79" s="57"/>
      <x:c r="V79" s="57"/>
      <x:c r="W79" s="57"/>
      <x:c r="X79" s="57"/>
      <x:c r="Y79" s="57"/>
      <x:c r="Z79" s="57"/>
      <x:c r="AA79" s="57"/>
      <x:c r="AB79" s="57"/>
      <x:c r="AC79" s="57"/>
      <x:c r="AD79" s="57"/>
    </x:row>
    <x:row r="80">
      <x:c r="A80" s="57"/>
      <x:c r="B80" s="57"/>
      <x:c r="C80" s="57" t="n">
        <x:v>79</x:v>
      </x:c>
      <x:c r="D80" s="57"/>
      <x:c r="E80" s="57"/>
      <x:c r="F80" s="57"/>
      <x:c r="G80" s="57"/>
      <x:c r="H80" s="57"/>
      <x:c r="I80" s="57"/>
      <x:c r="J80" s="57"/>
      <x:c r="K80" s="57" t="str">
        <x:f>IF(OR(I80="",J80=""),"",ABS(I80-J80))</x:f>
      </x:c>
      <x:c r="L80" s="57"/>
      <x:c r="M80" s="57"/>
      <x:c r="N80" s="57" t="str">
        <x:f>IF(OR(L80="",M80=""),"",ABS(L80-M80))</x:f>
      </x:c>
      <x:c r="O80" s="57"/>
      <x:c r="P80" s="57"/>
      <x:c r="Q80" s="57" t="str">
        <x:f>IF(OR(O80="",P80=""),"",ABS(O80-P80))</x:f>
      </x:c>
      <x:c r="R80" s="57"/>
      <x:c r="S80" s="57"/>
      <x:c r="T80" s="57"/>
      <x:c r="U80" s="57"/>
      <x:c r="V80" s="57"/>
      <x:c r="W80" s="57"/>
      <x:c r="X80" s="57"/>
      <x:c r="Y80" s="57"/>
      <x:c r="Z80" s="57"/>
      <x:c r="AA80" s="57"/>
      <x:c r="AB80" s="57"/>
      <x:c r="AC80" s="57"/>
      <x:c r="AD80" s="57"/>
    </x:row>
    <x:row r="81">
      <x:c r="A81" s="57"/>
      <x:c r="B81" s="57"/>
      <x:c r="C81" s="57" t="n">
        <x:v>80</x:v>
      </x:c>
      <x:c r="D81" s="57"/>
      <x:c r="E81" s="57"/>
      <x:c r="F81" s="57"/>
      <x:c r="G81" s="57"/>
      <x:c r="H81" s="57"/>
      <x:c r="I81" s="57"/>
      <x:c r="J81" s="57"/>
      <x:c r="K81" s="57" t="str">
        <x:f>IF(OR(I81="",J81=""),"",ABS(I81-J81))</x:f>
      </x:c>
      <x:c r="L81" s="57"/>
      <x:c r="M81" s="57"/>
      <x:c r="N81" s="57" t="str">
        <x:f>IF(OR(L81="",M81=""),"",ABS(L81-M81))</x:f>
      </x:c>
      <x:c r="O81" s="57"/>
      <x:c r="P81" s="57"/>
      <x:c r="Q81" s="57" t="str">
        <x:f>IF(OR(O81="",P81=""),"",ABS(O81-P81))</x:f>
      </x:c>
      <x:c r="R81" s="57"/>
      <x:c r="S81" s="57"/>
      <x:c r="T81" s="57"/>
      <x:c r="U81" s="57"/>
      <x:c r="V81" s="57"/>
      <x:c r="W81" s="57"/>
      <x:c r="X81" s="57"/>
      <x:c r="Y81" s="57"/>
      <x:c r="Z81" s="57"/>
      <x:c r="AA81" s="57"/>
      <x:c r="AB81" s="57"/>
      <x:c r="AC81" s="57"/>
      <x:c r="AD81" s="57"/>
    </x:row>
    <x:row r="82">
      <x:c r="A82" s="57"/>
      <x:c r="B82" s="57"/>
      <x:c r="C82" s="57" t="n">
        <x:v>81</x:v>
      </x:c>
      <x:c r="D82" s="57"/>
      <x:c r="E82" s="57"/>
      <x:c r="F82" s="57"/>
      <x:c r="G82" s="57"/>
      <x:c r="H82" s="57"/>
      <x:c r="I82" s="57"/>
      <x:c r="J82" s="57"/>
      <x:c r="K82" s="57" t="str">
        <x:f>IF(OR(I82="",J82=""),"",ABS(I82-J82))</x:f>
      </x:c>
      <x:c r="L82" s="57"/>
      <x:c r="M82" s="57"/>
      <x:c r="N82" s="57" t="str">
        <x:f>IF(OR(L82="",M82=""),"",ABS(L82-M82))</x:f>
      </x:c>
      <x:c r="O82" s="57"/>
      <x:c r="P82" s="57"/>
      <x:c r="Q82" s="57" t="str">
        <x:f>IF(OR(O82="",P82=""),"",ABS(O82-P82))</x:f>
      </x:c>
      <x:c r="R82" s="57"/>
      <x:c r="S82" s="57"/>
      <x:c r="T82" s="57"/>
      <x:c r="U82" s="57"/>
      <x:c r="V82" s="57"/>
      <x:c r="W82" s="57"/>
      <x:c r="X82" s="57"/>
      <x:c r="Y82" s="57"/>
      <x:c r="Z82" s="57"/>
      <x:c r="AA82" s="57"/>
      <x:c r="AB82" s="57"/>
      <x:c r="AC82" s="57"/>
      <x:c r="AD82" s="57"/>
    </x:row>
    <x:row r="83">
      <x:c r="A83" s="57"/>
      <x:c r="B83" s="57"/>
      <x:c r="C83" s="57" t="n">
        <x:v>82</x:v>
      </x:c>
      <x:c r="D83" s="57"/>
      <x:c r="E83" s="57"/>
      <x:c r="F83" s="57"/>
      <x:c r="G83" s="57"/>
      <x:c r="H83" s="57"/>
      <x:c r="I83" s="57"/>
      <x:c r="J83" s="57"/>
      <x:c r="K83" s="57" t="str">
        <x:f>IF(OR(I83="",J83=""),"",ABS(I83-J83))</x:f>
      </x:c>
      <x:c r="L83" s="57"/>
      <x:c r="M83" s="57"/>
      <x:c r="N83" s="57" t="str">
        <x:f>IF(OR(L83="",M83=""),"",ABS(L83-M83))</x:f>
      </x:c>
      <x:c r="O83" s="57"/>
      <x:c r="P83" s="57"/>
      <x:c r="Q83" s="57" t="str">
        <x:f>IF(OR(O83="",P83=""),"",ABS(O83-P83))</x:f>
      </x:c>
      <x:c r="R83" s="57"/>
      <x:c r="S83" s="57"/>
      <x:c r="T83" s="57"/>
      <x:c r="U83" s="57"/>
      <x:c r="V83" s="57"/>
      <x:c r="W83" s="57"/>
      <x:c r="X83" s="57"/>
      <x:c r="Y83" s="57"/>
      <x:c r="Z83" s="57"/>
      <x:c r="AA83" s="57"/>
      <x:c r="AB83" s="57"/>
      <x:c r="AC83" s="57"/>
      <x:c r="AD83" s="57"/>
    </x:row>
    <x:row r="84">
      <x:c r="A84" s="57"/>
      <x:c r="B84" s="57"/>
      <x:c r="C84" s="57" t="n">
        <x:v>83</x:v>
      </x:c>
      <x:c r="D84" s="57"/>
      <x:c r="E84" s="57"/>
      <x:c r="F84" s="57"/>
      <x:c r="G84" s="57"/>
      <x:c r="H84" s="57"/>
      <x:c r="I84" s="57"/>
      <x:c r="J84" s="57"/>
      <x:c r="K84" s="57" t="str">
        <x:f>IF(OR(I84="",J84=""),"",ABS(I84-J84))</x:f>
      </x:c>
      <x:c r="L84" s="57"/>
      <x:c r="M84" s="57"/>
      <x:c r="N84" s="57" t="str">
        <x:f>IF(OR(L84="",M84=""),"",ABS(L84-M84))</x:f>
      </x:c>
      <x:c r="O84" s="57"/>
      <x:c r="P84" s="57"/>
      <x:c r="Q84" s="57" t="str">
        <x:f>IF(OR(O84="",P84=""),"",ABS(O84-P84))</x:f>
      </x:c>
      <x:c r="R84" s="57"/>
      <x:c r="S84" s="57"/>
      <x:c r="T84" s="57"/>
      <x:c r="U84" s="57"/>
      <x:c r="V84" s="57"/>
      <x:c r="W84" s="57"/>
      <x:c r="X84" s="57"/>
      <x:c r="Y84" s="57"/>
      <x:c r="Z84" s="57"/>
      <x:c r="AA84" s="57"/>
      <x:c r="AB84" s="57"/>
      <x:c r="AC84" s="57"/>
      <x:c r="AD84" s="57"/>
    </x:row>
    <x:row r="85">
      <x:c r="A85" s="57"/>
      <x:c r="B85" s="57"/>
      <x:c r="C85" s="57" t="n">
        <x:v>84</x:v>
      </x:c>
      <x:c r="D85" s="57"/>
      <x:c r="E85" s="57"/>
      <x:c r="F85" s="57"/>
      <x:c r="G85" s="57"/>
      <x:c r="H85" s="57"/>
      <x:c r="I85" s="57"/>
      <x:c r="J85" s="57"/>
      <x:c r="K85" s="57" t="str">
        <x:f>IF(OR(I85="",J85=""),"",ABS(I85-J85))</x:f>
      </x:c>
      <x:c r="L85" s="57"/>
      <x:c r="M85" s="57"/>
      <x:c r="N85" s="57" t="str">
        <x:f>IF(OR(L85="",M85=""),"",ABS(L85-M85))</x:f>
      </x:c>
      <x:c r="O85" s="57"/>
      <x:c r="P85" s="57"/>
      <x:c r="Q85" s="57" t="str">
        <x:f>IF(OR(O85="",P85=""),"",ABS(O85-P85))</x:f>
      </x:c>
      <x:c r="R85" s="57"/>
      <x:c r="S85" s="57"/>
      <x:c r="T85" s="57"/>
      <x:c r="U85" s="57"/>
      <x:c r="V85" s="57"/>
      <x:c r="W85" s="57"/>
      <x:c r="X85" s="57"/>
      <x:c r="Y85" s="57"/>
      <x:c r="Z85" s="57"/>
      <x:c r="AA85" s="57"/>
      <x:c r="AB85" s="57"/>
      <x:c r="AC85" s="57"/>
      <x:c r="AD85" s="57"/>
    </x:row>
    <x:row r="86">
      <x:c r="A86" s="57"/>
      <x:c r="B86" s="57"/>
      <x:c r="C86" s="57" t="n">
        <x:v>85</x:v>
      </x:c>
      <x:c r="D86" s="57"/>
      <x:c r="E86" s="57"/>
      <x:c r="F86" s="57"/>
      <x:c r="G86" s="57"/>
      <x:c r="H86" s="57"/>
      <x:c r="I86" s="57"/>
      <x:c r="J86" s="57"/>
      <x:c r="K86" s="57" t="str">
        <x:f>IF(OR(I86="",J86=""),"",ABS(I86-J86))</x:f>
      </x:c>
      <x:c r="L86" s="57"/>
      <x:c r="M86" s="57"/>
      <x:c r="N86" s="57" t="str">
        <x:f>IF(OR(L86="",M86=""),"",ABS(L86-M86))</x:f>
      </x:c>
      <x:c r="O86" s="57"/>
      <x:c r="P86" s="57"/>
      <x:c r="Q86" s="57" t="str">
        <x:f>IF(OR(O86="",P86=""),"",ABS(O86-P86))</x:f>
      </x:c>
      <x:c r="R86" s="57"/>
      <x:c r="S86" s="57"/>
      <x:c r="T86" s="57"/>
      <x:c r="U86" s="57"/>
      <x:c r="V86" s="57"/>
      <x:c r="W86" s="57"/>
      <x:c r="X86" s="57"/>
      <x:c r="Y86" s="57"/>
      <x:c r="Z86" s="57"/>
      <x:c r="AA86" s="57"/>
      <x:c r="AB86" s="57"/>
      <x:c r="AC86" s="57"/>
      <x:c r="AD86" s="57"/>
    </x:row>
    <x:row r="87">
      <x:c r="A87" s="57"/>
      <x:c r="B87" s="57"/>
      <x:c r="C87" s="57" t="n">
        <x:v>86</x:v>
      </x:c>
      <x:c r="D87" s="57"/>
      <x:c r="E87" s="57"/>
      <x:c r="F87" s="57"/>
      <x:c r="G87" s="57"/>
      <x:c r="H87" s="57"/>
      <x:c r="I87" s="57"/>
      <x:c r="J87" s="57"/>
      <x:c r="K87" s="57" t="str">
        <x:f>IF(OR(I87="",J87=""),"",ABS(I87-J87))</x:f>
      </x:c>
      <x:c r="L87" s="57"/>
      <x:c r="M87" s="57"/>
      <x:c r="N87" s="57" t="str">
        <x:f>IF(OR(L87="",M87=""),"",ABS(L87-M87))</x:f>
      </x:c>
      <x:c r="O87" s="57"/>
      <x:c r="P87" s="57"/>
      <x:c r="Q87" s="57" t="str">
        <x:f>IF(OR(O87="",P87=""),"",ABS(O87-P87))</x:f>
      </x:c>
      <x:c r="R87" s="57"/>
      <x:c r="S87" s="57"/>
      <x:c r="T87" s="57"/>
      <x:c r="U87" s="57"/>
      <x:c r="V87" s="57"/>
      <x:c r="W87" s="57"/>
      <x:c r="X87" s="57"/>
      <x:c r="Y87" s="57"/>
      <x:c r="Z87" s="57"/>
      <x:c r="AA87" s="57"/>
      <x:c r="AB87" s="57"/>
      <x:c r="AC87" s="57"/>
      <x:c r="AD87" s="57"/>
    </x:row>
    <x:row r="88">
      <x:c r="A88" s="57"/>
      <x:c r="B88" s="57"/>
      <x:c r="C88" s="57" t="n">
        <x:v>87</x:v>
      </x:c>
      <x:c r="D88" s="57"/>
      <x:c r="E88" s="57"/>
      <x:c r="F88" s="57"/>
      <x:c r="G88" s="57"/>
      <x:c r="H88" s="57"/>
      <x:c r="I88" s="57"/>
      <x:c r="J88" s="57"/>
      <x:c r="K88" s="57" t="str">
        <x:f>IF(OR(I88="",J88=""),"",ABS(I88-J88))</x:f>
      </x:c>
      <x:c r="L88" s="57"/>
      <x:c r="M88" s="57"/>
      <x:c r="N88" s="57" t="str">
        <x:f>IF(OR(L88="",M88=""),"",ABS(L88-M88))</x:f>
      </x:c>
      <x:c r="O88" s="57"/>
      <x:c r="P88" s="57"/>
      <x:c r="Q88" s="57" t="str">
        <x:f>IF(OR(O88="",P88=""),"",ABS(O88-P88))</x:f>
      </x:c>
      <x:c r="R88" s="57"/>
      <x:c r="S88" s="57"/>
      <x:c r="T88" s="57"/>
      <x:c r="U88" s="57"/>
      <x:c r="V88" s="57"/>
      <x:c r="W88" s="57"/>
      <x:c r="X88" s="57"/>
      <x:c r="Y88" s="57"/>
      <x:c r="Z88" s="57"/>
      <x:c r="AA88" s="57"/>
      <x:c r="AB88" s="57"/>
      <x:c r="AC88" s="57"/>
      <x:c r="AD88" s="57"/>
    </x:row>
    <x:row r="89">
      <x:c r="A89" s="57"/>
      <x:c r="B89" s="57"/>
      <x:c r="C89" s="57" t="n">
        <x:v>88</x:v>
      </x:c>
      <x:c r="D89" s="57"/>
      <x:c r="E89" s="57"/>
      <x:c r="F89" s="57"/>
      <x:c r="G89" s="57"/>
      <x:c r="H89" s="57"/>
      <x:c r="I89" s="57"/>
      <x:c r="J89" s="57"/>
      <x:c r="K89" s="57" t="str">
        <x:f>IF(OR(I89="",J89=""),"",ABS(I89-J89))</x:f>
      </x:c>
      <x:c r="L89" s="57"/>
      <x:c r="M89" s="57"/>
      <x:c r="N89" s="57" t="str">
        <x:f>IF(OR(L89="",M89=""),"",ABS(L89-M89))</x:f>
      </x:c>
      <x:c r="O89" s="57"/>
      <x:c r="P89" s="57"/>
      <x:c r="Q89" s="57" t="str">
        <x:f>IF(OR(O89="",P89=""),"",ABS(O89-P89))</x:f>
      </x:c>
      <x:c r="R89" s="57"/>
      <x:c r="S89" s="57"/>
      <x:c r="T89" s="57"/>
      <x:c r="U89" s="57"/>
      <x:c r="V89" s="57"/>
      <x:c r="W89" s="57"/>
      <x:c r="X89" s="57"/>
      <x:c r="Y89" s="57"/>
      <x:c r="Z89" s="57"/>
      <x:c r="AA89" s="57"/>
      <x:c r="AB89" s="57"/>
      <x:c r="AC89" s="57"/>
      <x:c r="AD89" s="57"/>
    </x:row>
    <x:row r="90">
      <x:c r="A90" s="57"/>
      <x:c r="B90" s="57"/>
      <x:c r="C90" s="57" t="n">
        <x:v>89</x:v>
      </x:c>
      <x:c r="D90" s="57"/>
      <x:c r="E90" s="57"/>
      <x:c r="F90" s="57"/>
      <x:c r="G90" s="57"/>
      <x:c r="H90" s="57"/>
      <x:c r="I90" s="57"/>
      <x:c r="J90" s="57"/>
      <x:c r="K90" s="57" t="str">
        <x:f>IF(OR(I90="",J90=""),"",ABS(I90-J90))</x:f>
      </x:c>
      <x:c r="L90" s="57"/>
      <x:c r="M90" s="57"/>
      <x:c r="N90" s="57" t="str">
        <x:f>IF(OR(L90="",M90=""),"",ABS(L90-M90))</x:f>
      </x:c>
      <x:c r="O90" s="57"/>
      <x:c r="P90" s="57"/>
      <x:c r="Q90" s="57" t="str">
        <x:f>IF(OR(O90="",P90=""),"",ABS(O90-P90))</x:f>
      </x:c>
      <x:c r="R90" s="57"/>
      <x:c r="S90" s="57"/>
      <x:c r="T90" s="57"/>
      <x:c r="U90" s="57"/>
      <x:c r="V90" s="57"/>
      <x:c r="W90" s="57"/>
      <x:c r="X90" s="57"/>
      <x:c r="Y90" s="57"/>
      <x:c r="Z90" s="57"/>
      <x:c r="AA90" s="57"/>
      <x:c r="AB90" s="57"/>
      <x:c r="AC90" s="57"/>
      <x:c r="AD90" s="57"/>
    </x:row>
    <x:row r="91">
      <x:c r="A91" s="57"/>
      <x:c r="B91" s="57"/>
      <x:c r="C91" s="57" t="n">
        <x:v>90</x:v>
      </x:c>
      <x:c r="D91" s="57"/>
      <x:c r="E91" s="57"/>
      <x:c r="F91" s="57"/>
      <x:c r="G91" s="57"/>
      <x:c r="H91" s="57"/>
      <x:c r="I91" s="57"/>
      <x:c r="J91" s="57"/>
      <x:c r="K91" s="57" t="str">
        <x:f>IF(OR(I91="",J91=""),"",ABS(I91-J91))</x:f>
      </x:c>
      <x:c r="L91" s="57"/>
      <x:c r="M91" s="57"/>
      <x:c r="N91" s="57" t="str">
        <x:f>IF(OR(L91="",M91=""),"",ABS(L91-M91))</x:f>
      </x:c>
      <x:c r="O91" s="57"/>
      <x:c r="P91" s="57"/>
      <x:c r="Q91" s="57" t="str">
        <x:f>IF(OR(O91="",P91=""),"",ABS(O91-P91))</x:f>
      </x:c>
      <x:c r="R91" s="57"/>
      <x:c r="S91" s="57"/>
      <x:c r="T91" s="57"/>
      <x:c r="U91" s="57"/>
      <x:c r="V91" s="57"/>
      <x:c r="W91" s="57"/>
      <x:c r="X91" s="57"/>
      <x:c r="Y91" s="57"/>
      <x:c r="Z91" s="57"/>
      <x:c r="AA91" s="57"/>
      <x:c r="AB91" s="57"/>
      <x:c r="AC91" s="57"/>
      <x:c r="AD91" s="57"/>
    </x:row>
    <x:row r="92">
      <x:c r="A92" s="57"/>
      <x:c r="B92" s="57"/>
      <x:c r="C92" s="57" t="n">
        <x:v>91</x:v>
      </x:c>
      <x:c r="D92" s="57"/>
      <x:c r="E92" s="57"/>
      <x:c r="F92" s="57"/>
      <x:c r="G92" s="57"/>
      <x:c r="H92" s="57"/>
      <x:c r="I92" s="57"/>
      <x:c r="J92" s="57"/>
      <x:c r="K92" s="57" t="str">
        <x:f>IF(OR(I92="",J92=""),"",ABS(I92-J92))</x:f>
      </x:c>
      <x:c r="L92" s="57"/>
      <x:c r="M92" s="57"/>
      <x:c r="N92" s="57" t="str">
        <x:f>IF(OR(L92="",M92=""),"",ABS(L92-M92))</x:f>
      </x:c>
      <x:c r="O92" s="57"/>
      <x:c r="P92" s="57"/>
      <x:c r="Q92" s="57" t="str">
        <x:f>IF(OR(O92="",P92=""),"",ABS(O92-P92))</x:f>
      </x:c>
      <x:c r="R92" s="57"/>
      <x:c r="S92" s="57"/>
      <x:c r="T92" s="57"/>
      <x:c r="U92" s="57"/>
      <x:c r="V92" s="57"/>
      <x:c r="W92" s="57"/>
      <x:c r="X92" s="57"/>
      <x:c r="Y92" s="57"/>
      <x:c r="Z92" s="57"/>
      <x:c r="AA92" s="57"/>
      <x:c r="AB92" s="57"/>
      <x:c r="AC92" s="57"/>
      <x:c r="AD92" s="57"/>
    </x:row>
    <x:row r="93">
      <x:c r="A93" s="57"/>
      <x:c r="B93" s="57"/>
      <x:c r="C93" s="57" t="n">
        <x:v>92</x:v>
      </x:c>
      <x:c r="D93" s="57"/>
      <x:c r="E93" s="57"/>
      <x:c r="F93" s="57"/>
      <x:c r="G93" s="57"/>
      <x:c r="H93" s="57"/>
      <x:c r="I93" s="57"/>
      <x:c r="J93" s="57"/>
      <x:c r="K93" s="57" t="str">
        <x:f>IF(OR(I93="",J93=""),"",ABS(I93-J93))</x:f>
      </x:c>
      <x:c r="L93" s="57"/>
      <x:c r="M93" s="57"/>
      <x:c r="N93" s="57" t="str">
        <x:f>IF(OR(L93="",M93=""),"",ABS(L93-M93))</x:f>
      </x:c>
      <x:c r="O93" s="57"/>
      <x:c r="P93" s="57"/>
      <x:c r="Q93" s="57" t="str">
        <x:f>IF(OR(O93="",P93=""),"",ABS(O93-P93))</x:f>
      </x:c>
      <x:c r="R93" s="57"/>
      <x:c r="S93" s="57"/>
      <x:c r="T93" s="57"/>
      <x:c r="U93" s="57"/>
      <x:c r="V93" s="57"/>
      <x:c r="W93" s="57"/>
      <x:c r="X93" s="57"/>
      <x:c r="Y93" s="57"/>
      <x:c r="Z93" s="57"/>
      <x:c r="AA93" s="57"/>
      <x:c r="AB93" s="57"/>
      <x:c r="AC93" s="57"/>
      <x:c r="AD93" s="57"/>
    </x:row>
    <x:row r="94">
      <x:c r="A94" s="57"/>
      <x:c r="B94" s="57"/>
      <x:c r="C94" s="57" t="n">
        <x:v>93</x:v>
      </x:c>
      <x:c r="D94" s="57"/>
      <x:c r="E94" s="57"/>
      <x:c r="F94" s="57"/>
      <x:c r="G94" s="57"/>
      <x:c r="H94" s="57"/>
      <x:c r="I94" s="57"/>
      <x:c r="J94" s="57"/>
      <x:c r="K94" s="57" t="str">
        <x:f>IF(OR(I94="",J94=""),"",ABS(I94-J94))</x:f>
      </x:c>
      <x:c r="L94" s="57"/>
      <x:c r="M94" s="57"/>
      <x:c r="N94" s="57" t="str">
        <x:f>IF(OR(L94="",M94=""),"",ABS(L94-M94))</x:f>
      </x:c>
      <x:c r="O94" s="57"/>
      <x:c r="P94" s="57"/>
      <x:c r="Q94" s="57" t="str">
        <x:f>IF(OR(O94="",P94=""),"",ABS(O94-P94))</x:f>
      </x:c>
      <x:c r="R94" s="57"/>
      <x:c r="S94" s="57"/>
      <x:c r="T94" s="57"/>
      <x:c r="U94" s="57"/>
      <x:c r="V94" s="57"/>
      <x:c r="W94" s="57"/>
      <x:c r="X94" s="57"/>
      <x:c r="Y94" s="57"/>
      <x:c r="Z94" s="57"/>
      <x:c r="AA94" s="57"/>
      <x:c r="AB94" s="57"/>
      <x:c r="AC94" s="57"/>
      <x:c r="AD94" s="57"/>
    </x:row>
    <x:row r="95">
      <x:c r="A95" s="57"/>
      <x:c r="B95" s="57"/>
      <x:c r="C95" s="57" t="n">
        <x:v>94</x:v>
      </x:c>
      <x:c r="D95" s="57"/>
      <x:c r="E95" s="57"/>
      <x:c r="F95" s="57"/>
      <x:c r="G95" s="57"/>
      <x:c r="H95" s="57"/>
      <x:c r="I95" s="57"/>
      <x:c r="J95" s="57"/>
      <x:c r="K95" s="57" t="str">
        <x:f>IF(OR(I95="",J95=""),"",ABS(I95-J95))</x:f>
      </x:c>
      <x:c r="L95" s="57"/>
      <x:c r="M95" s="57"/>
      <x:c r="N95" s="57" t="str">
        <x:f>IF(OR(L95="",M95=""),"",ABS(L95-M95))</x:f>
      </x:c>
      <x:c r="O95" s="57"/>
      <x:c r="P95" s="57"/>
      <x:c r="Q95" s="57" t="str">
        <x:f>IF(OR(O95="",P95=""),"",ABS(O95-P95))</x:f>
      </x:c>
      <x:c r="R95" s="57"/>
      <x:c r="S95" s="57"/>
      <x:c r="T95" s="57"/>
      <x:c r="U95" s="57"/>
      <x:c r="V95" s="57"/>
      <x:c r="W95" s="57"/>
      <x:c r="X95" s="57"/>
      <x:c r="Y95" s="57"/>
      <x:c r="Z95" s="57"/>
      <x:c r="AA95" s="57"/>
      <x:c r="AB95" s="57"/>
      <x:c r="AC95" s="57"/>
      <x:c r="AD95" s="57"/>
    </x:row>
    <x:row r="96">
      <x:c r="A96" s="57"/>
      <x:c r="B96" s="57"/>
      <x:c r="C96" s="57" t="n">
        <x:v>95</x:v>
      </x:c>
      <x:c r="D96" s="57"/>
      <x:c r="E96" s="57"/>
      <x:c r="F96" s="57"/>
      <x:c r="G96" s="57"/>
      <x:c r="H96" s="57"/>
      <x:c r="I96" s="57"/>
      <x:c r="J96" s="57"/>
      <x:c r="K96" s="57" t="str">
        <x:f>IF(OR(I96="",J96=""),"",ABS(I96-J96))</x:f>
      </x:c>
      <x:c r="L96" s="57"/>
      <x:c r="M96" s="57"/>
      <x:c r="N96" s="57" t="str">
        <x:f>IF(OR(L96="",M96=""),"",ABS(L96-M96))</x:f>
      </x:c>
      <x:c r="O96" s="57"/>
      <x:c r="P96" s="57"/>
      <x:c r="Q96" s="57" t="str">
        <x:f>IF(OR(O96="",P96=""),"",ABS(O96-P96))</x:f>
      </x:c>
      <x:c r="R96" s="57"/>
      <x:c r="S96" s="57"/>
      <x:c r="T96" s="57"/>
      <x:c r="U96" s="57"/>
      <x:c r="V96" s="57"/>
      <x:c r="W96" s="57"/>
      <x:c r="X96" s="57"/>
      <x:c r="Y96" s="57"/>
      <x:c r="Z96" s="57"/>
      <x:c r="AA96" s="57"/>
      <x:c r="AB96" s="57"/>
      <x:c r="AC96" s="57"/>
      <x:c r="AD96" s="57"/>
    </x:row>
    <x:row r="97">
      <x:c r="A97" s="57"/>
      <x:c r="B97" s="57"/>
      <x:c r="C97" s="57" t="n">
        <x:v>96</x:v>
      </x:c>
      <x:c r="D97" s="57"/>
      <x:c r="E97" s="57"/>
      <x:c r="F97" s="57"/>
      <x:c r="G97" s="57"/>
      <x:c r="H97" s="57"/>
      <x:c r="I97" s="57"/>
      <x:c r="J97" s="57"/>
      <x:c r="K97" s="57" t="str">
        <x:f>IF(OR(I97="",J97=""),"",ABS(I97-J97))</x:f>
      </x:c>
      <x:c r="L97" s="57"/>
      <x:c r="M97" s="57"/>
      <x:c r="N97" s="57" t="str">
        <x:f>IF(OR(L97="",M97=""),"",ABS(L97-M97))</x:f>
      </x:c>
      <x:c r="O97" s="57"/>
      <x:c r="P97" s="57"/>
      <x:c r="Q97" s="57" t="str">
        <x:f>IF(OR(O97="",P97=""),"",ABS(O97-P97))</x:f>
      </x:c>
      <x:c r="R97" s="57"/>
      <x:c r="S97" s="57"/>
      <x:c r="T97" s="57"/>
      <x:c r="U97" s="57"/>
      <x:c r="V97" s="57"/>
      <x:c r="W97" s="57"/>
      <x:c r="X97" s="57"/>
      <x:c r="Y97" s="57"/>
      <x:c r="Z97" s="57"/>
      <x:c r="AA97" s="57"/>
      <x:c r="AB97" s="57"/>
      <x:c r="AC97" s="57"/>
      <x:c r="AD97" s="57"/>
    </x:row>
    <x:row r="98">
      <x:c r="A98" s="57"/>
      <x:c r="B98" s="57"/>
      <x:c r="C98" s="57" t="n">
        <x:v>97</x:v>
      </x:c>
      <x:c r="D98" s="57"/>
      <x:c r="E98" s="57"/>
      <x:c r="F98" s="57"/>
      <x:c r="G98" s="57"/>
      <x:c r="H98" s="57"/>
      <x:c r="I98" s="57"/>
      <x:c r="J98" s="57"/>
      <x:c r="K98" s="57" t="str">
        <x:f>IF(OR(I98="",J98=""),"",ABS(I98-J98))</x:f>
      </x:c>
      <x:c r="L98" s="57"/>
      <x:c r="M98" s="57"/>
      <x:c r="N98" s="57" t="str">
        <x:f>IF(OR(L98="",M98=""),"",ABS(L98-M98))</x:f>
      </x:c>
      <x:c r="O98" s="57"/>
      <x:c r="P98" s="57"/>
      <x:c r="Q98" s="57" t="str">
        <x:f>IF(OR(O98="",P98=""),"",ABS(O98-P98))</x:f>
      </x:c>
      <x:c r="R98" s="57"/>
      <x:c r="S98" s="57"/>
      <x:c r="T98" s="57"/>
      <x:c r="U98" s="57"/>
      <x:c r="V98" s="57"/>
      <x:c r="W98" s="57"/>
      <x:c r="X98" s="57"/>
      <x:c r="Y98" s="57"/>
      <x:c r="Z98" s="57"/>
      <x:c r="AA98" s="57"/>
      <x:c r="AB98" s="57"/>
      <x:c r="AC98" s="57"/>
      <x:c r="AD98" s="57"/>
    </x:row>
    <x:row r="99">
      <x:c r="A99" s="57"/>
      <x:c r="B99" s="57"/>
      <x:c r="C99" s="57" t="n">
        <x:v>98</x:v>
      </x:c>
      <x:c r="D99" s="57"/>
      <x:c r="E99" s="57"/>
      <x:c r="F99" s="57"/>
      <x:c r="G99" s="57"/>
      <x:c r="H99" s="57"/>
      <x:c r="I99" s="57"/>
      <x:c r="J99" s="57"/>
      <x:c r="K99" s="57" t="str">
        <x:f>IF(OR(I99="",J99=""),"",ABS(I99-J99))</x:f>
      </x:c>
      <x:c r="L99" s="57"/>
      <x:c r="M99" s="57"/>
      <x:c r="N99" s="57" t="str">
        <x:f>IF(OR(L99="",M99=""),"",ABS(L99-M99))</x:f>
      </x:c>
      <x:c r="O99" s="57"/>
      <x:c r="P99" s="57"/>
      <x:c r="Q99" s="57" t="str">
        <x:f>IF(OR(O99="",P99=""),"",ABS(O99-P99))</x:f>
      </x:c>
      <x:c r="R99" s="57"/>
      <x:c r="S99" s="57"/>
      <x:c r="T99" s="57"/>
      <x:c r="U99" s="57"/>
      <x:c r="V99" s="57"/>
      <x:c r="W99" s="57"/>
      <x:c r="X99" s="57"/>
      <x:c r="Y99" s="57"/>
      <x:c r="Z99" s="57"/>
      <x:c r="AA99" s="57"/>
      <x:c r="AB99" s="57"/>
      <x:c r="AC99" s="57"/>
      <x:c r="AD99" s="57"/>
    </x:row>
    <x:row r="100">
      <x:c r="A100" s="57"/>
      <x:c r="B100" s="57"/>
      <x:c r="C100" s="57" t="n">
        <x:v>99</x:v>
      </x:c>
      <x:c r="D100" s="57"/>
      <x:c r="E100" s="57"/>
      <x:c r="F100" s="57"/>
      <x:c r="G100" s="57"/>
      <x:c r="H100" s="57"/>
      <x:c r="I100" s="57"/>
      <x:c r="J100" s="57"/>
      <x:c r="K100" s="57" t="str">
        <x:f>IF(OR(I100="",J100=""),"",ABS(I100-J100))</x:f>
      </x:c>
      <x:c r="L100" s="57"/>
      <x:c r="M100" s="57"/>
      <x:c r="N100" s="57" t="str">
        <x:f>IF(OR(L100="",M100=""),"",ABS(L100-M100))</x:f>
      </x:c>
      <x:c r="O100" s="57"/>
      <x:c r="P100" s="57"/>
      <x:c r="Q100" s="57" t="str">
        <x:f>IF(OR(O100="",P100=""),"",ABS(O100-P100))</x:f>
      </x:c>
      <x:c r="R100" s="57"/>
      <x:c r="S100" s="57"/>
      <x:c r="T100" s="57"/>
      <x:c r="U100" s="57"/>
      <x:c r="V100" s="57"/>
      <x:c r="W100" s="57"/>
      <x:c r="X100" s="57"/>
      <x:c r="Y100" s="57"/>
      <x:c r="Z100" s="57"/>
      <x:c r="AA100" s="57"/>
      <x:c r="AB100" s="57"/>
      <x:c r="AC100" s="57"/>
      <x:c r="AD100" s="57"/>
    </x:row>
    <x:row r="101">
      <x:c r="A101" s="57"/>
      <x:c r="B101" s="57"/>
      <x:c r="C101" s="57" t="n">
        <x:v>100</x:v>
      </x:c>
      <x:c r="D101" s="57"/>
      <x:c r="E101" s="57"/>
      <x:c r="F101" s="57"/>
      <x:c r="G101" s="57"/>
      <x:c r="H101" s="57"/>
      <x:c r="I101" s="57"/>
      <x:c r="J101" s="57"/>
      <x:c r="K101" s="57" t="str">
        <x:f>IF(OR(I101="",J101=""),"",ABS(I101-J101))</x:f>
      </x:c>
      <x:c r="L101" s="57"/>
      <x:c r="M101" s="57"/>
      <x:c r="N101" s="57" t="str">
        <x:f>IF(OR(L101="",M101=""),"",ABS(L101-M101))</x:f>
      </x:c>
      <x:c r="O101" s="57"/>
      <x:c r="P101" s="57"/>
      <x:c r="Q101" s="57" t="str">
        <x:f>IF(OR(O101="",P101=""),"",ABS(O101-P101))</x:f>
      </x:c>
      <x:c r="R101" s="57"/>
      <x:c r="S101" s="57"/>
      <x:c r="T101" s="57"/>
      <x:c r="U101" s="57"/>
      <x:c r="V101" s="57"/>
      <x:c r="W101" s="57"/>
      <x:c r="X101" s="57"/>
      <x:c r="Y101" s="57"/>
      <x:c r="Z101" s="57"/>
      <x:c r="AA101" s="57"/>
      <x:c r="AB101" s="57"/>
      <x:c r="AC101" s="57"/>
      <x:c r="AD101" s="57"/>
    </x:row>
    <x:row r="102">
      <x:c r="A102" s="57"/>
      <x:c r="B102" s="57"/>
      <x:c r="C102" s="57" t="n">
        <x:v>101</x:v>
      </x:c>
      <x:c r="D102" s="57"/>
      <x:c r="E102" s="57"/>
      <x:c r="F102" s="57"/>
      <x:c r="G102" s="57"/>
      <x:c r="H102" s="57"/>
      <x:c r="I102" s="57"/>
      <x:c r="J102" s="57"/>
      <x:c r="K102" s="57" t="str">
        <x:f>IF(OR(I102="",J102=""),"",ABS(I102-J102))</x:f>
      </x:c>
      <x:c r="L102" s="57"/>
      <x:c r="M102" s="57"/>
      <x:c r="N102" s="57" t="str">
        <x:f>IF(OR(L102="",M102=""),"",ABS(L102-M102))</x:f>
      </x:c>
      <x:c r="O102" s="57"/>
      <x:c r="P102" s="57"/>
      <x:c r="Q102" s="57" t="str">
        <x:f>IF(OR(O102="",P102=""),"",ABS(O102-P102))</x:f>
      </x:c>
      <x:c r="R102" s="57"/>
      <x:c r="S102" s="57"/>
      <x:c r="T102" s="57"/>
      <x:c r="U102" s="57"/>
      <x:c r="V102" s="57"/>
      <x:c r="W102" s="57"/>
      <x:c r="X102" s="57"/>
      <x:c r="Y102" s="57"/>
      <x:c r="Z102" s="57"/>
      <x:c r="AA102" s="57"/>
      <x:c r="AB102" s="57"/>
      <x:c r="AC102" s="57"/>
      <x:c r="AD102" s="57"/>
    </x:row>
    <x:row r="103">
      <x:c r="A103" s="57"/>
      <x:c r="B103" s="57"/>
      <x:c r="C103" s="57" t="n">
        <x:v>102</x:v>
      </x:c>
      <x:c r="D103" s="57"/>
      <x:c r="E103" s="57"/>
      <x:c r="F103" s="57"/>
      <x:c r="G103" s="57"/>
      <x:c r="H103" s="57"/>
      <x:c r="I103" s="57"/>
      <x:c r="J103" s="57"/>
      <x:c r="K103" s="57" t="str">
        <x:f>IF(OR(I103="",J103=""),"",ABS(I103-J103))</x:f>
      </x:c>
      <x:c r="L103" s="57"/>
      <x:c r="M103" s="57"/>
      <x:c r="N103" s="57" t="str">
        <x:f>IF(OR(L103="",M103=""),"",ABS(L103-M103))</x:f>
      </x:c>
      <x:c r="O103" s="57"/>
      <x:c r="P103" s="57"/>
      <x:c r="Q103" s="57" t="str">
        <x:f>IF(OR(O103="",P103=""),"",ABS(O103-P103))</x:f>
      </x:c>
      <x:c r="R103" s="57"/>
      <x:c r="S103" s="57"/>
      <x:c r="T103" s="57"/>
      <x:c r="U103" s="57"/>
      <x:c r="V103" s="57"/>
      <x:c r="W103" s="57"/>
      <x:c r="X103" s="57"/>
      <x:c r="Y103" s="57"/>
      <x:c r="Z103" s="57"/>
      <x:c r="AA103" s="57"/>
      <x:c r="AB103" s="57"/>
      <x:c r="AC103" s="57"/>
      <x:c r="AD103" s="57"/>
    </x:row>
    <x:row r="104">
      <x:c r="A104" s="57"/>
      <x:c r="B104" s="57"/>
      <x:c r="C104" s="57" t="n">
        <x:v>103</x:v>
      </x:c>
      <x:c r="D104" s="57"/>
      <x:c r="E104" s="57"/>
      <x:c r="F104" s="57"/>
      <x:c r="G104" s="57"/>
      <x:c r="H104" s="57"/>
      <x:c r="I104" s="57"/>
      <x:c r="J104" s="57"/>
      <x:c r="K104" s="57" t="str">
        <x:f>IF(OR(I104="",J104=""),"",ABS(I104-J104))</x:f>
      </x:c>
      <x:c r="L104" s="57"/>
      <x:c r="M104" s="57"/>
      <x:c r="N104" s="57" t="str">
        <x:f>IF(OR(L104="",M104=""),"",ABS(L104-M104))</x:f>
      </x:c>
      <x:c r="O104" s="57"/>
      <x:c r="P104" s="57"/>
      <x:c r="Q104" s="57" t="str">
        <x:f>IF(OR(O104="",P104=""),"",ABS(O104-P104))</x:f>
      </x:c>
      <x:c r="R104" s="57"/>
      <x:c r="S104" s="57"/>
      <x:c r="T104" s="57"/>
      <x:c r="U104" s="57"/>
      <x:c r="V104" s="57"/>
      <x:c r="W104" s="57"/>
      <x:c r="X104" s="57"/>
      <x:c r="Y104" s="57"/>
      <x:c r="Z104" s="57"/>
      <x:c r="AA104" s="57"/>
      <x:c r="AB104" s="57"/>
      <x:c r="AC104" s="57"/>
      <x:c r="AD104" s="57"/>
    </x:row>
    <x:row r="105">
      <x:c r="A105" s="57"/>
      <x:c r="B105" s="57"/>
      <x:c r="C105" s="57" t="n">
        <x:v>104</x:v>
      </x:c>
      <x:c r="D105" s="57"/>
      <x:c r="E105" s="57"/>
      <x:c r="F105" s="57"/>
      <x:c r="G105" s="57"/>
      <x:c r="H105" s="57"/>
      <x:c r="I105" s="57"/>
      <x:c r="J105" s="57"/>
      <x:c r="K105" s="57" t="str">
        <x:f>IF(OR(I105="",J105=""),"",ABS(I105-J105))</x:f>
      </x:c>
      <x:c r="L105" s="57"/>
      <x:c r="M105" s="57"/>
      <x:c r="N105" s="57" t="str">
        <x:f>IF(OR(L105="",M105=""),"",ABS(L105-M105))</x:f>
      </x:c>
      <x:c r="O105" s="57"/>
      <x:c r="P105" s="57"/>
      <x:c r="Q105" s="57" t="str">
        <x:f>IF(OR(O105="",P105=""),"",ABS(O105-P105))</x:f>
      </x:c>
      <x:c r="R105" s="57"/>
      <x:c r="S105" s="57"/>
      <x:c r="T105" s="57"/>
      <x:c r="U105" s="57"/>
      <x:c r="V105" s="57"/>
      <x:c r="W105" s="57"/>
      <x:c r="X105" s="57"/>
      <x:c r="Y105" s="57"/>
      <x:c r="Z105" s="57"/>
      <x:c r="AA105" s="57"/>
      <x:c r="AB105" s="57"/>
      <x:c r="AC105" s="57"/>
      <x:c r="AD105" s="57"/>
    </x:row>
    <x:row r="106">
      <x:c r="A106" s="57"/>
      <x:c r="B106" s="57"/>
      <x:c r="C106" s="57" t="n">
        <x:v>105</x:v>
      </x:c>
      <x:c r="D106" s="57"/>
      <x:c r="E106" s="57"/>
      <x:c r="F106" s="57"/>
      <x:c r="G106" s="57"/>
      <x:c r="H106" s="57"/>
      <x:c r="I106" s="57"/>
      <x:c r="J106" s="57"/>
      <x:c r="K106" s="57" t="str">
        <x:f>IF(OR(I106="",J106=""),"",ABS(I106-J106))</x:f>
      </x:c>
      <x:c r="L106" s="57"/>
      <x:c r="M106" s="57"/>
      <x:c r="N106" s="57" t="str">
        <x:f>IF(OR(L106="",M106=""),"",ABS(L106-M106))</x:f>
      </x:c>
      <x:c r="O106" s="57"/>
      <x:c r="P106" s="57"/>
      <x:c r="Q106" s="57" t="str">
        <x:f>IF(OR(O106="",P106=""),"",ABS(O106-P106))</x:f>
      </x:c>
      <x:c r="R106" s="57"/>
      <x:c r="S106" s="57"/>
      <x:c r="T106" s="57"/>
      <x:c r="U106" s="57"/>
      <x:c r="V106" s="57"/>
      <x:c r="W106" s="57"/>
      <x:c r="X106" s="57"/>
      <x:c r="Y106" s="57"/>
      <x:c r="Z106" s="57"/>
      <x:c r="AA106" s="57"/>
      <x:c r="AB106" s="57"/>
      <x:c r="AC106" s="57"/>
      <x:c r="AD106" s="57"/>
    </x:row>
    <x:row r="107">
      <x:c r="A107" s="57"/>
      <x:c r="B107" s="57"/>
      <x:c r="C107" s="57" t="n">
        <x:v>106</x:v>
      </x:c>
      <x:c r="D107" s="57"/>
      <x:c r="E107" s="57"/>
      <x:c r="F107" s="57"/>
      <x:c r="G107" s="57"/>
      <x:c r="H107" s="57"/>
      <x:c r="I107" s="57"/>
      <x:c r="J107" s="57"/>
      <x:c r="K107" s="57" t="str">
        <x:f>IF(OR(I107="",J107=""),"",ABS(I107-J107))</x:f>
      </x:c>
      <x:c r="L107" s="57"/>
      <x:c r="M107" s="57"/>
      <x:c r="N107" s="57" t="str">
        <x:f>IF(OR(L107="",M107=""),"",ABS(L107-M107))</x:f>
      </x:c>
      <x:c r="O107" s="57"/>
      <x:c r="P107" s="57"/>
      <x:c r="Q107" s="57" t="str">
        <x:f>IF(OR(O107="",P107=""),"",ABS(O107-P107))</x:f>
      </x:c>
      <x:c r="R107" s="57"/>
      <x:c r="S107" s="57"/>
      <x:c r="T107" s="57"/>
      <x:c r="U107" s="57"/>
      <x:c r="V107" s="57"/>
      <x:c r="W107" s="57"/>
      <x:c r="X107" s="57"/>
      <x:c r="Y107" s="57"/>
      <x:c r="Z107" s="57"/>
      <x:c r="AA107" s="57"/>
      <x:c r="AB107" s="57"/>
      <x:c r="AC107" s="57"/>
      <x:c r="AD107" s="57"/>
    </x:row>
    <x:row r="108">
      <x:c r="A108" s="57"/>
      <x:c r="B108" s="57"/>
      <x:c r="C108" s="57" t="n">
        <x:v>107</x:v>
      </x:c>
      <x:c r="D108" s="57"/>
      <x:c r="E108" s="57"/>
      <x:c r="F108" s="57"/>
      <x:c r="G108" s="57"/>
      <x:c r="H108" s="57"/>
      <x:c r="I108" s="57"/>
      <x:c r="J108" s="57"/>
      <x:c r="K108" s="57" t="str">
        <x:f>IF(OR(I108="",J108=""),"",ABS(I108-J108))</x:f>
      </x:c>
      <x:c r="L108" s="57"/>
      <x:c r="M108" s="57"/>
      <x:c r="N108" s="57" t="str">
        <x:f>IF(OR(L108="",M108=""),"",ABS(L108-M108))</x:f>
      </x:c>
      <x:c r="O108" s="57"/>
      <x:c r="P108" s="57"/>
      <x:c r="Q108" s="57" t="str">
        <x:f>IF(OR(O108="",P108=""),"",ABS(O108-P108))</x:f>
      </x:c>
      <x:c r="R108" s="57"/>
      <x:c r="S108" s="57"/>
      <x:c r="T108" s="57"/>
      <x:c r="U108" s="57"/>
      <x:c r="V108" s="57"/>
      <x:c r="W108" s="57"/>
      <x:c r="X108" s="57"/>
      <x:c r="Y108" s="57"/>
      <x:c r="Z108" s="57"/>
      <x:c r="AA108" s="57"/>
      <x:c r="AB108" s="57"/>
      <x:c r="AC108" s="57"/>
      <x:c r="AD108" s="57"/>
    </x:row>
    <x:row r="109">
      <x:c r="A109" s="57"/>
      <x:c r="B109" s="57"/>
      <x:c r="C109" s="57" t="n">
        <x:v>108</x:v>
      </x:c>
      <x:c r="D109" s="57"/>
      <x:c r="E109" s="57"/>
      <x:c r="F109" s="57"/>
      <x:c r="G109" s="57"/>
      <x:c r="H109" s="57"/>
      <x:c r="I109" s="57"/>
      <x:c r="J109" s="57"/>
      <x:c r="K109" s="57" t="str">
        <x:f>IF(OR(I109="",J109=""),"",ABS(I109-J109))</x:f>
      </x:c>
      <x:c r="L109" s="57"/>
      <x:c r="M109" s="57"/>
      <x:c r="N109" s="57" t="str">
        <x:f>IF(OR(L109="",M109=""),"",ABS(L109-M109))</x:f>
      </x:c>
      <x:c r="O109" s="57"/>
      <x:c r="P109" s="57"/>
      <x:c r="Q109" s="57" t="str">
        <x:f>IF(OR(O109="",P109=""),"",ABS(O109-P109))</x:f>
      </x:c>
      <x:c r="R109" s="57"/>
      <x:c r="S109" s="57"/>
      <x:c r="T109" s="57"/>
      <x:c r="U109" s="57"/>
      <x:c r="V109" s="57"/>
      <x:c r="W109" s="57"/>
      <x:c r="X109" s="57"/>
      <x:c r="Y109" s="57"/>
      <x:c r="Z109" s="57"/>
      <x:c r="AA109" s="57"/>
      <x:c r="AB109" s="57"/>
      <x:c r="AC109" s="57"/>
      <x:c r="AD109" s="57"/>
    </x:row>
    <x:row r="110">
      <x:c r="A110" s="57"/>
      <x:c r="B110" s="57"/>
      <x:c r="C110" s="57" t="n">
        <x:v>109</x:v>
      </x:c>
      <x:c r="D110" s="57"/>
      <x:c r="E110" s="57"/>
      <x:c r="F110" s="57"/>
      <x:c r="G110" s="57"/>
      <x:c r="H110" s="57"/>
      <x:c r="I110" s="57"/>
      <x:c r="J110" s="57"/>
      <x:c r="K110" s="57" t="str">
        <x:f>IF(OR(I110="",J110=""),"",ABS(I110-J110))</x:f>
      </x:c>
      <x:c r="L110" s="57"/>
      <x:c r="M110" s="57"/>
      <x:c r="N110" s="57" t="str">
        <x:f>IF(OR(L110="",M110=""),"",ABS(L110-M110))</x:f>
      </x:c>
      <x:c r="O110" s="57"/>
      <x:c r="P110" s="57"/>
      <x:c r="Q110" s="57" t="str">
        <x:f>IF(OR(O110="",P110=""),"",ABS(O110-P110))</x:f>
      </x:c>
      <x:c r="R110" s="57"/>
      <x:c r="S110" s="57"/>
      <x:c r="T110" s="57"/>
      <x:c r="U110" s="57"/>
      <x:c r="V110" s="57"/>
      <x:c r="W110" s="57"/>
      <x:c r="X110" s="57"/>
      <x:c r="Y110" s="57"/>
      <x:c r="Z110" s="57"/>
      <x:c r="AA110" s="57"/>
      <x:c r="AB110" s="57"/>
      <x:c r="AC110" s="57"/>
      <x:c r="AD110" s="57"/>
    </x:row>
    <x:row r="111">
      <x:c r="A111" s="57"/>
      <x:c r="B111" s="57"/>
      <x:c r="C111" s="57" t="n">
        <x:v>110</x:v>
      </x:c>
      <x:c r="D111" s="57"/>
      <x:c r="E111" s="57"/>
      <x:c r="F111" s="57"/>
      <x:c r="G111" s="57"/>
      <x:c r="H111" s="57"/>
      <x:c r="I111" s="57"/>
      <x:c r="J111" s="57"/>
      <x:c r="K111" s="57" t="str">
        <x:f>IF(OR(I111="",J111=""),"",ABS(I111-J111))</x:f>
      </x:c>
      <x:c r="L111" s="57"/>
      <x:c r="M111" s="57"/>
      <x:c r="N111" s="57" t="str">
        <x:f>IF(OR(L111="",M111=""),"",ABS(L111-M111))</x:f>
      </x:c>
      <x:c r="O111" s="57"/>
      <x:c r="P111" s="57"/>
      <x:c r="Q111" s="57" t="str">
        <x:f>IF(OR(O111="",P111=""),"",ABS(O111-P111))</x:f>
      </x:c>
      <x:c r="R111" s="57"/>
      <x:c r="S111" s="57"/>
      <x:c r="T111" s="57"/>
      <x:c r="U111" s="57"/>
      <x:c r="V111" s="57"/>
      <x:c r="W111" s="57"/>
      <x:c r="X111" s="57"/>
      <x:c r="Y111" s="57"/>
      <x:c r="Z111" s="57"/>
      <x:c r="AA111" s="57"/>
      <x:c r="AB111" s="57"/>
      <x:c r="AC111" s="57"/>
      <x:c r="AD111" s="57"/>
    </x:row>
    <x:row r="112">
      <x:c r="A112" s="57"/>
      <x:c r="B112" s="57"/>
      <x:c r="C112" s="57" t="n">
        <x:v>111</x:v>
      </x:c>
      <x:c r="D112" s="57"/>
      <x:c r="E112" s="57"/>
      <x:c r="F112" s="57"/>
      <x:c r="G112" s="57"/>
      <x:c r="H112" s="57"/>
      <x:c r="I112" s="57"/>
      <x:c r="J112" s="57"/>
      <x:c r="K112" s="57" t="str">
        <x:f>IF(OR(I112="",J112=""),"",ABS(I112-J112))</x:f>
      </x:c>
      <x:c r="L112" s="57"/>
      <x:c r="M112" s="57"/>
      <x:c r="N112" s="57" t="str">
        <x:f>IF(OR(L112="",M112=""),"",ABS(L112-M112))</x:f>
      </x:c>
      <x:c r="O112" s="57"/>
      <x:c r="P112" s="57"/>
      <x:c r="Q112" s="57" t="str">
        <x:f>IF(OR(O112="",P112=""),"",ABS(O112-P112))</x:f>
      </x:c>
      <x:c r="R112" s="57"/>
      <x:c r="S112" s="57"/>
      <x:c r="T112" s="57"/>
      <x:c r="U112" s="57"/>
      <x:c r="V112" s="57"/>
      <x:c r="W112" s="57"/>
      <x:c r="X112" s="57"/>
      <x:c r="Y112" s="57"/>
      <x:c r="Z112" s="57"/>
      <x:c r="AA112" s="57"/>
      <x:c r="AB112" s="57"/>
      <x:c r="AC112" s="57"/>
      <x:c r="AD112" s="57"/>
    </x:row>
    <x:row r="113">
      <x:c r="A113" s="57"/>
      <x:c r="B113" s="57"/>
      <x:c r="C113" s="57" t="n">
        <x:v>112</x:v>
      </x:c>
      <x:c r="D113" s="57"/>
      <x:c r="E113" s="57"/>
      <x:c r="F113" s="57"/>
      <x:c r="G113" s="57"/>
      <x:c r="H113" s="57"/>
      <x:c r="I113" s="57"/>
      <x:c r="J113" s="57"/>
      <x:c r="K113" s="57" t="str">
        <x:f>IF(OR(I113="",J113=""),"",ABS(I113-J113))</x:f>
      </x:c>
      <x:c r="L113" s="57"/>
      <x:c r="M113" s="57"/>
      <x:c r="N113" s="57" t="str">
        <x:f>IF(OR(L113="",M113=""),"",ABS(L113-M113))</x:f>
      </x:c>
      <x:c r="O113" s="57"/>
      <x:c r="P113" s="57"/>
      <x:c r="Q113" s="57" t="str">
        <x:f>IF(OR(O113="",P113=""),"",ABS(O113-P113))</x:f>
      </x:c>
      <x:c r="R113" s="57"/>
      <x:c r="S113" s="57"/>
      <x:c r="T113" s="57"/>
      <x:c r="U113" s="57"/>
      <x:c r="V113" s="57"/>
      <x:c r="W113" s="57"/>
      <x:c r="X113" s="57"/>
      <x:c r="Y113" s="57"/>
      <x:c r="Z113" s="57"/>
      <x:c r="AA113" s="57"/>
      <x:c r="AB113" s="57"/>
      <x:c r="AC113" s="57"/>
      <x:c r="AD113" s="57"/>
    </x:row>
    <x:row r="114">
      <x:c r="A114" s="57"/>
      <x:c r="B114" s="57"/>
      <x:c r="C114" s="57" t="n">
        <x:v>113</x:v>
      </x:c>
      <x:c r="D114" s="57"/>
      <x:c r="E114" s="57"/>
      <x:c r="F114" s="57"/>
      <x:c r="G114" s="57"/>
      <x:c r="H114" s="57"/>
      <x:c r="I114" s="57"/>
      <x:c r="J114" s="57"/>
      <x:c r="K114" s="57" t="str">
        <x:f>IF(OR(I114="",J114=""),"",ABS(I114-J114))</x:f>
      </x:c>
      <x:c r="L114" s="57"/>
      <x:c r="M114" s="57"/>
      <x:c r="N114" s="57" t="str">
        <x:f>IF(OR(L114="",M114=""),"",ABS(L114-M114))</x:f>
      </x:c>
      <x:c r="O114" s="57"/>
      <x:c r="P114" s="57"/>
      <x:c r="Q114" s="57" t="str">
        <x:f>IF(OR(O114="",P114=""),"",ABS(O114-P114))</x:f>
      </x:c>
      <x:c r="R114" s="57"/>
      <x:c r="S114" s="57"/>
      <x:c r="T114" s="57"/>
      <x:c r="U114" s="57"/>
      <x:c r="V114" s="57"/>
      <x:c r="W114" s="57"/>
      <x:c r="X114" s="57"/>
      <x:c r="Y114" s="57"/>
      <x:c r="Z114" s="57"/>
      <x:c r="AA114" s="57"/>
      <x:c r="AB114" s="57"/>
      <x:c r="AC114" s="57"/>
      <x:c r="AD114" s="57"/>
    </x:row>
    <x:row r="115">
      <x:c r="A115" s="57"/>
      <x:c r="B115" s="57"/>
      <x:c r="C115" s="57" t="n">
        <x:v>114</x:v>
      </x:c>
      <x:c r="D115" s="57"/>
      <x:c r="E115" s="57"/>
      <x:c r="F115" s="57"/>
      <x:c r="G115" s="57"/>
      <x:c r="H115" s="57"/>
      <x:c r="I115" s="57"/>
      <x:c r="J115" s="57"/>
      <x:c r="K115" s="57" t="str">
        <x:f>IF(OR(I115="",J115=""),"",ABS(I115-J115))</x:f>
      </x:c>
      <x:c r="L115" s="57"/>
      <x:c r="M115" s="57"/>
      <x:c r="N115" s="57" t="str">
        <x:f>IF(OR(L115="",M115=""),"",ABS(L115-M115))</x:f>
      </x:c>
      <x:c r="O115" s="57"/>
      <x:c r="P115" s="57"/>
      <x:c r="Q115" s="57" t="str">
        <x:f>IF(OR(O115="",P115=""),"",ABS(O115-P115))</x:f>
      </x:c>
      <x:c r="R115" s="57"/>
      <x:c r="S115" s="57"/>
      <x:c r="T115" s="57"/>
      <x:c r="U115" s="57"/>
      <x:c r="V115" s="57"/>
      <x:c r="W115" s="57"/>
      <x:c r="X115" s="57"/>
      <x:c r="Y115" s="57"/>
      <x:c r="Z115" s="57"/>
      <x:c r="AA115" s="57"/>
      <x:c r="AB115" s="57"/>
      <x:c r="AC115" s="57"/>
      <x:c r="AD115" s="57"/>
    </x:row>
    <x:row r="116">
      <x:c r="A116" s="57"/>
      <x:c r="B116" s="57"/>
      <x:c r="C116" s="57" t="n">
        <x:v>115</x:v>
      </x:c>
      <x:c r="D116" s="57"/>
      <x:c r="E116" s="57"/>
      <x:c r="F116" s="57"/>
      <x:c r="G116" s="57"/>
      <x:c r="H116" s="57"/>
      <x:c r="I116" s="57"/>
      <x:c r="J116" s="57"/>
      <x:c r="K116" s="57" t="str">
        <x:f>IF(OR(I116="",J116=""),"",ABS(I116-J116))</x:f>
      </x:c>
      <x:c r="L116" s="57"/>
      <x:c r="M116" s="57"/>
      <x:c r="N116" s="57" t="str">
        <x:f>IF(OR(L116="",M116=""),"",ABS(L116-M116))</x:f>
      </x:c>
      <x:c r="O116" s="57"/>
      <x:c r="P116" s="57"/>
      <x:c r="Q116" s="57" t="str">
        <x:f>IF(OR(O116="",P116=""),"",ABS(O116-P116))</x:f>
      </x:c>
      <x:c r="R116" s="57"/>
      <x:c r="S116" s="57"/>
      <x:c r="T116" s="57"/>
      <x:c r="U116" s="57"/>
      <x:c r="V116" s="57"/>
      <x:c r="W116" s="57"/>
      <x:c r="X116" s="57"/>
      <x:c r="Y116" s="57"/>
      <x:c r="Z116" s="57"/>
      <x:c r="AA116" s="57"/>
      <x:c r="AB116" s="57"/>
      <x:c r="AC116" s="57"/>
      <x:c r="AD116" s="57"/>
    </x:row>
    <x:row r="117">
      <x:c r="A117" s="57"/>
      <x:c r="B117" s="57"/>
      <x:c r="C117" s="57" t="n">
        <x:v>116</x:v>
      </x:c>
      <x:c r="D117" s="57"/>
      <x:c r="E117" s="57"/>
      <x:c r="F117" s="57"/>
      <x:c r="G117" s="57"/>
      <x:c r="H117" s="57"/>
      <x:c r="I117" s="57"/>
      <x:c r="J117" s="57"/>
      <x:c r="K117" s="57" t="str">
        <x:f>IF(OR(I117="",J117=""),"",ABS(I117-J117))</x:f>
      </x:c>
      <x:c r="L117" s="57"/>
      <x:c r="M117" s="57"/>
      <x:c r="N117" s="57" t="str">
        <x:f>IF(OR(L117="",M117=""),"",ABS(L117-M117))</x:f>
      </x:c>
      <x:c r="O117" s="57"/>
      <x:c r="P117" s="57"/>
      <x:c r="Q117" s="57" t="str">
        <x:f>IF(OR(O117="",P117=""),"",ABS(O117-P117))</x:f>
      </x:c>
      <x:c r="R117" s="57"/>
      <x:c r="S117" s="57"/>
      <x:c r="T117" s="57"/>
      <x:c r="U117" s="57"/>
      <x:c r="V117" s="57"/>
      <x:c r="W117" s="57"/>
      <x:c r="X117" s="57"/>
      <x:c r="Y117" s="57"/>
      <x:c r="Z117" s="57"/>
      <x:c r="AA117" s="57"/>
      <x:c r="AB117" s="57"/>
      <x:c r="AC117" s="57"/>
      <x:c r="AD117" s="57"/>
    </x:row>
    <x:row r="118">
      <x:c r="A118" s="57"/>
      <x:c r="B118" s="57"/>
      <x:c r="C118" s="57" t="n">
        <x:v>117</x:v>
      </x:c>
      <x:c r="D118" s="57"/>
      <x:c r="E118" s="57"/>
      <x:c r="F118" s="57"/>
      <x:c r="G118" s="57"/>
      <x:c r="H118" s="57"/>
      <x:c r="I118" s="57"/>
      <x:c r="J118" s="57"/>
      <x:c r="K118" s="57" t="str">
        <x:f>IF(OR(I118="",J118=""),"",ABS(I118-J118))</x:f>
      </x:c>
      <x:c r="L118" s="57"/>
      <x:c r="M118" s="57"/>
      <x:c r="N118" s="57" t="str">
        <x:f>IF(OR(L118="",M118=""),"",ABS(L118-M118))</x:f>
      </x:c>
      <x:c r="O118" s="57"/>
      <x:c r="P118" s="57"/>
      <x:c r="Q118" s="57" t="str">
        <x:f>IF(OR(O118="",P118=""),"",ABS(O118-P118))</x:f>
      </x:c>
      <x:c r="R118" s="57"/>
      <x:c r="S118" s="57"/>
      <x:c r="T118" s="57"/>
      <x:c r="U118" s="57"/>
      <x:c r="V118" s="57"/>
      <x:c r="W118" s="57"/>
      <x:c r="X118" s="57"/>
      <x:c r="Y118" s="57"/>
      <x:c r="Z118" s="57"/>
      <x:c r="AA118" s="57"/>
      <x:c r="AB118" s="57"/>
      <x:c r="AC118" s="57"/>
      <x:c r="AD118" s="57"/>
    </x:row>
    <x:row r="119">
      <x:c r="A119" s="57"/>
      <x:c r="B119" s="57"/>
      <x:c r="C119" s="57" t="n">
        <x:v>118</x:v>
      </x:c>
      <x:c r="D119" s="57"/>
      <x:c r="E119" s="57"/>
      <x:c r="F119" s="57"/>
      <x:c r="G119" s="57"/>
      <x:c r="H119" s="57"/>
      <x:c r="I119" s="57"/>
      <x:c r="J119" s="57"/>
      <x:c r="K119" s="57" t="str">
        <x:f>IF(OR(I119="",J119=""),"",ABS(I119-J119))</x:f>
      </x:c>
      <x:c r="L119" s="57"/>
      <x:c r="M119" s="57"/>
      <x:c r="N119" s="57" t="str">
        <x:f>IF(OR(L119="",M119=""),"",ABS(L119-M119))</x:f>
      </x:c>
      <x:c r="O119" s="57"/>
      <x:c r="P119" s="57"/>
      <x:c r="Q119" s="57" t="str">
        <x:f>IF(OR(O119="",P119=""),"",ABS(O119-P119))</x:f>
      </x:c>
      <x:c r="R119" s="57"/>
      <x:c r="S119" s="57"/>
      <x:c r="T119" s="57"/>
      <x:c r="U119" s="57"/>
      <x:c r="V119" s="57"/>
      <x:c r="W119" s="57"/>
      <x:c r="X119" s="57"/>
      <x:c r="Y119" s="57"/>
      <x:c r="Z119" s="57"/>
      <x:c r="AA119" s="57"/>
      <x:c r="AB119" s="57"/>
      <x:c r="AC119" s="57"/>
      <x:c r="AD119" s="57"/>
    </x:row>
    <x:row r="120">
      <x:c r="A120" s="57"/>
      <x:c r="B120" s="57"/>
      <x:c r="C120" s="57" t="n">
        <x:v>119</x:v>
      </x:c>
      <x:c r="D120" s="57"/>
      <x:c r="E120" s="57"/>
      <x:c r="F120" s="57"/>
      <x:c r="G120" s="57"/>
      <x:c r="H120" s="57"/>
      <x:c r="I120" s="57"/>
      <x:c r="J120" s="57"/>
      <x:c r="K120" s="57" t="str">
        <x:f>IF(OR(I120="",J120=""),"",ABS(I120-J120))</x:f>
      </x:c>
      <x:c r="L120" s="57"/>
      <x:c r="M120" s="57"/>
      <x:c r="N120" s="57" t="str">
        <x:f>IF(OR(L120="",M120=""),"",ABS(L120-M120))</x:f>
      </x:c>
      <x:c r="O120" s="57"/>
      <x:c r="P120" s="57"/>
      <x:c r="Q120" s="57" t="str">
        <x:f>IF(OR(O120="",P120=""),"",ABS(O120-P120))</x:f>
      </x:c>
      <x:c r="R120" s="57"/>
      <x:c r="S120" s="57"/>
      <x:c r="T120" s="57"/>
      <x:c r="U120" s="57"/>
      <x:c r="V120" s="57"/>
      <x:c r="W120" s="57"/>
      <x:c r="X120" s="57"/>
      <x:c r="Y120" s="57"/>
      <x:c r="Z120" s="57"/>
      <x:c r="AA120" s="57"/>
      <x:c r="AB120" s="57"/>
      <x:c r="AC120" s="57"/>
      <x:c r="AD120" s="57"/>
    </x:row>
    <x:row r="121">
      <x:c r="A121" s="57"/>
      <x:c r="B121" s="57"/>
      <x:c r="C121" s="57" t="n">
        <x:v>120</x:v>
      </x:c>
      <x:c r="D121" s="57"/>
      <x:c r="E121" s="57"/>
      <x:c r="F121" s="57"/>
      <x:c r="G121" s="57"/>
      <x:c r="H121" s="57"/>
      <x:c r="I121" s="57"/>
      <x:c r="J121" s="57"/>
      <x:c r="K121" s="57" t="str">
        <x:f>IF(OR(I121="",J121=""),"",ABS(I121-J121))</x:f>
      </x:c>
      <x:c r="L121" s="57"/>
      <x:c r="M121" s="57"/>
      <x:c r="N121" s="57" t="str">
        <x:f>IF(OR(L121="",M121=""),"",ABS(L121-M121))</x:f>
      </x:c>
      <x:c r="O121" s="57"/>
      <x:c r="P121" s="57"/>
      <x:c r="Q121" s="57" t="str">
        <x:f>IF(OR(O121="",P121=""),"",ABS(O121-P121))</x:f>
      </x:c>
      <x:c r="R121" s="57"/>
      <x:c r="S121" s="57"/>
      <x:c r="T121" s="57"/>
      <x:c r="U121" s="57"/>
      <x:c r="V121" s="57"/>
      <x:c r="W121" s="57"/>
      <x:c r="X121" s="57"/>
      <x:c r="Y121" s="57"/>
      <x:c r="Z121" s="57"/>
      <x:c r="AA121" s="57"/>
      <x:c r="AB121" s="57"/>
      <x:c r="AC121" s="57"/>
      <x:c r="AD121" s="57"/>
    </x:row>
    <x:row r="122">
      <x:c r="A122" s="57"/>
      <x:c r="B122" s="57"/>
      <x:c r="C122" s="57" t="n">
        <x:v>121</x:v>
      </x:c>
      <x:c r="D122" s="57"/>
      <x:c r="E122" s="57"/>
      <x:c r="F122" s="57"/>
      <x:c r="G122" s="57"/>
      <x:c r="H122" s="57"/>
      <x:c r="I122" s="57"/>
      <x:c r="J122" s="57"/>
      <x:c r="K122" s="57" t="str">
        <x:f>IF(OR(I122="",J122=""),"",ABS(I122-J122))</x:f>
      </x:c>
      <x:c r="L122" s="57"/>
      <x:c r="M122" s="57"/>
      <x:c r="N122" s="57" t="str">
        <x:f>IF(OR(L122="",M122=""),"",ABS(L122-M122))</x:f>
      </x:c>
      <x:c r="O122" s="57"/>
      <x:c r="P122" s="57"/>
      <x:c r="Q122" s="57" t="str">
        <x:f>IF(OR(O122="",P122=""),"",ABS(O122-P122))</x:f>
      </x:c>
      <x:c r="R122" s="57"/>
      <x:c r="S122" s="57"/>
      <x:c r="T122" s="57"/>
      <x:c r="U122" s="57"/>
      <x:c r="V122" s="57"/>
      <x:c r="W122" s="57"/>
      <x:c r="X122" s="57"/>
      <x:c r="Y122" s="57"/>
      <x:c r="Z122" s="57"/>
      <x:c r="AA122" s="57"/>
      <x:c r="AB122" s="57"/>
      <x:c r="AC122" s="57"/>
      <x:c r="AD122" s="57"/>
    </x:row>
    <x:row r="123">
      <x:c r="A123" s="57"/>
      <x:c r="B123" s="57"/>
      <x:c r="C123" s="57" t="n">
        <x:v>122</x:v>
      </x:c>
      <x:c r="D123" s="57"/>
      <x:c r="E123" s="57"/>
      <x:c r="F123" s="57"/>
      <x:c r="G123" s="57"/>
      <x:c r="H123" s="57"/>
      <x:c r="I123" s="57"/>
      <x:c r="J123" s="57"/>
      <x:c r="K123" s="57" t="str">
        <x:f>IF(OR(I123="",J123=""),"",ABS(I123-J123))</x:f>
      </x:c>
      <x:c r="L123" s="57"/>
      <x:c r="M123" s="57"/>
      <x:c r="N123" s="57" t="str">
        <x:f>IF(OR(L123="",M123=""),"",ABS(L123-M123))</x:f>
      </x:c>
      <x:c r="O123" s="57"/>
      <x:c r="P123" s="57"/>
      <x:c r="Q123" s="57" t="str">
        <x:f>IF(OR(O123="",P123=""),"",ABS(O123-P123))</x:f>
      </x:c>
      <x:c r="R123" s="57"/>
      <x:c r="S123" s="57"/>
      <x:c r="T123" s="57"/>
      <x:c r="U123" s="57"/>
      <x:c r="V123" s="57"/>
      <x:c r="W123" s="57"/>
      <x:c r="X123" s="57"/>
      <x:c r="Y123" s="57"/>
      <x:c r="Z123" s="57"/>
      <x:c r="AA123" s="57"/>
      <x:c r="AB123" s="57"/>
      <x:c r="AC123" s="57"/>
      <x:c r="AD123" s="57"/>
    </x:row>
    <x:row r="124">
      <x:c r="A124" s="57"/>
      <x:c r="B124" s="57"/>
      <x:c r="C124" s="57" t="n">
        <x:v>123</x:v>
      </x:c>
      <x:c r="D124" s="57"/>
      <x:c r="E124" s="57"/>
      <x:c r="F124" s="57"/>
      <x:c r="G124" s="57"/>
      <x:c r="H124" s="57"/>
      <x:c r="I124" s="57"/>
      <x:c r="J124" s="57"/>
      <x:c r="K124" s="57" t="str">
        <x:f>IF(OR(I124="",J124=""),"",ABS(I124-J124))</x:f>
      </x:c>
      <x:c r="L124" s="57"/>
      <x:c r="M124" s="57"/>
      <x:c r="N124" s="57" t="str">
        <x:f>IF(OR(L124="",M124=""),"",ABS(L124-M124))</x:f>
      </x:c>
      <x:c r="O124" s="57"/>
      <x:c r="P124" s="57"/>
      <x:c r="Q124" s="57" t="str">
        <x:f>IF(OR(O124="",P124=""),"",ABS(O124-P124))</x:f>
      </x:c>
      <x:c r="R124" s="57"/>
      <x:c r="S124" s="57"/>
      <x:c r="T124" s="57"/>
      <x:c r="U124" s="57"/>
      <x:c r="V124" s="57"/>
      <x:c r="W124" s="57"/>
      <x:c r="X124" s="57"/>
      <x:c r="Y124" s="57"/>
      <x:c r="Z124" s="57"/>
      <x:c r="AA124" s="57"/>
      <x:c r="AB124" s="57"/>
      <x:c r="AC124" s="57"/>
      <x:c r="AD124" s="57"/>
    </x:row>
    <x:row r="125">
      <x:c r="A125" s="57"/>
      <x:c r="B125" s="57"/>
      <x:c r="C125" s="57" t="n">
        <x:v>124</x:v>
      </x:c>
      <x:c r="D125" s="57"/>
      <x:c r="E125" s="57"/>
      <x:c r="F125" s="57"/>
      <x:c r="G125" s="57"/>
      <x:c r="H125" s="57"/>
      <x:c r="I125" s="57"/>
      <x:c r="J125" s="57"/>
      <x:c r="K125" s="57" t="str">
        <x:f>IF(OR(I125="",J125=""),"",ABS(I125-J125))</x:f>
      </x:c>
      <x:c r="L125" s="57"/>
      <x:c r="M125" s="57"/>
      <x:c r="N125" s="57" t="str">
        <x:f>IF(OR(L125="",M125=""),"",ABS(L125-M125))</x:f>
      </x:c>
      <x:c r="O125" s="57"/>
      <x:c r="P125" s="57"/>
      <x:c r="Q125" s="57" t="str">
        <x:f>IF(OR(O125="",P125=""),"",ABS(O125-P125))</x:f>
      </x:c>
      <x:c r="R125" s="57"/>
      <x:c r="S125" s="57"/>
      <x:c r="T125" s="57"/>
      <x:c r="U125" s="57"/>
      <x:c r="V125" s="57"/>
      <x:c r="W125" s="57"/>
      <x:c r="X125" s="57"/>
      <x:c r="Y125" s="57"/>
      <x:c r="Z125" s="57"/>
      <x:c r="AA125" s="57"/>
      <x:c r="AB125" s="57"/>
      <x:c r="AC125" s="57"/>
      <x:c r="AD125" s="57"/>
    </x:row>
    <x:row r="126">
      <x:c r="A126" s="57"/>
      <x:c r="B126" s="57"/>
      <x:c r="C126" s="57" t="n">
        <x:v>125</x:v>
      </x:c>
      <x:c r="D126" s="57"/>
      <x:c r="E126" s="57"/>
      <x:c r="F126" s="57"/>
      <x:c r="G126" s="57"/>
      <x:c r="H126" s="57"/>
      <x:c r="I126" s="57"/>
      <x:c r="J126" s="57"/>
      <x:c r="K126" s="57" t="str">
        <x:f>IF(OR(I126="",J126=""),"",ABS(I126-J126))</x:f>
      </x:c>
      <x:c r="L126" s="57"/>
      <x:c r="M126" s="57"/>
      <x:c r="N126" s="57" t="str">
        <x:f>IF(OR(L126="",M126=""),"",ABS(L126-M126))</x:f>
      </x:c>
      <x:c r="O126" s="57"/>
      <x:c r="P126" s="57"/>
      <x:c r="Q126" s="57" t="str">
        <x:f>IF(OR(O126="",P126=""),"",ABS(O126-P126))</x:f>
      </x:c>
      <x:c r="R126" s="57"/>
      <x:c r="S126" s="57"/>
      <x:c r="T126" s="57"/>
      <x:c r="U126" s="57"/>
      <x:c r="V126" s="57"/>
      <x:c r="W126" s="57"/>
      <x:c r="X126" s="57"/>
      <x:c r="Y126" s="57"/>
      <x:c r="Z126" s="57"/>
      <x:c r="AA126" s="57"/>
      <x:c r="AB126" s="57"/>
      <x:c r="AC126" s="57"/>
      <x:c r="AD126" s="57"/>
    </x:row>
    <x:row r="127">
      <x:c r="A127" s="57"/>
      <x:c r="B127" s="57"/>
      <x:c r="C127" s="57" t="n">
        <x:v>126</x:v>
      </x:c>
      <x:c r="D127" s="57"/>
      <x:c r="E127" s="57"/>
      <x:c r="F127" s="57"/>
      <x:c r="G127" s="57"/>
      <x:c r="H127" s="57"/>
      <x:c r="I127" s="57"/>
      <x:c r="J127" s="57"/>
      <x:c r="K127" s="57" t="str">
        <x:f>IF(OR(I127="",J127=""),"",ABS(I127-J127))</x:f>
      </x:c>
      <x:c r="L127" s="57"/>
      <x:c r="M127" s="57"/>
      <x:c r="N127" s="57" t="str">
        <x:f>IF(OR(L127="",M127=""),"",ABS(L127-M127))</x:f>
      </x:c>
      <x:c r="O127" s="57"/>
      <x:c r="P127" s="57"/>
      <x:c r="Q127" s="57" t="str">
        <x:f>IF(OR(O127="",P127=""),"",ABS(O127-P127))</x:f>
      </x:c>
      <x:c r="R127" s="57"/>
      <x:c r="S127" s="57"/>
      <x:c r="T127" s="57"/>
      <x:c r="U127" s="57"/>
      <x:c r="V127" s="57"/>
      <x:c r="W127" s="57"/>
      <x:c r="X127" s="57"/>
      <x:c r="Y127" s="57"/>
      <x:c r="Z127" s="57"/>
      <x:c r="AA127" s="57"/>
      <x:c r="AB127" s="57"/>
      <x:c r="AC127" s="57"/>
      <x:c r="AD127" s="57"/>
    </x:row>
    <x:row r="128">
      <x:c r="A128" s="57"/>
      <x:c r="B128" s="57"/>
      <x:c r="C128" s="57" t="n">
        <x:v>127</x:v>
      </x:c>
      <x:c r="D128" s="57"/>
      <x:c r="E128" s="57"/>
      <x:c r="F128" s="57"/>
      <x:c r="G128" s="57"/>
      <x:c r="H128" s="57"/>
      <x:c r="I128" s="57"/>
      <x:c r="J128" s="57"/>
      <x:c r="K128" s="57" t="str">
        <x:f>IF(OR(I128="",J128=""),"",ABS(I128-J128))</x:f>
      </x:c>
      <x:c r="L128" s="57"/>
      <x:c r="M128" s="57"/>
      <x:c r="N128" s="57" t="str">
        <x:f>IF(OR(L128="",M128=""),"",ABS(L128-M128))</x:f>
      </x:c>
      <x:c r="O128" s="57"/>
      <x:c r="P128" s="57"/>
      <x:c r="Q128" s="57" t="str">
        <x:f>IF(OR(O128="",P128=""),"",ABS(O128-P128))</x:f>
      </x:c>
      <x:c r="R128" s="57"/>
      <x:c r="S128" s="57"/>
      <x:c r="T128" s="57"/>
      <x:c r="U128" s="57"/>
      <x:c r="V128" s="57"/>
      <x:c r="W128" s="57"/>
      <x:c r="X128" s="57"/>
      <x:c r="Y128" s="57"/>
      <x:c r="Z128" s="57"/>
      <x:c r="AA128" s="57"/>
      <x:c r="AB128" s="57"/>
      <x:c r="AC128" s="57"/>
      <x:c r="AD128" s="57"/>
    </x:row>
    <x:row r="129">
      <x:c r="A129" s="57"/>
      <x:c r="B129" s="57"/>
      <x:c r="C129" s="57" t="n">
        <x:v>128</x:v>
      </x:c>
      <x:c r="D129" s="57"/>
      <x:c r="E129" s="57"/>
      <x:c r="F129" s="57"/>
      <x:c r="G129" s="57"/>
      <x:c r="H129" s="57"/>
      <x:c r="I129" s="57"/>
      <x:c r="J129" s="57"/>
      <x:c r="K129" s="57" t="str">
        <x:f>IF(OR(I129="",J129=""),"",ABS(I129-J129))</x:f>
      </x:c>
      <x:c r="L129" s="57"/>
      <x:c r="M129" s="57"/>
      <x:c r="N129" s="57" t="str">
        <x:f>IF(OR(L129="",M129=""),"",ABS(L129-M129))</x:f>
      </x:c>
      <x:c r="O129" s="57"/>
      <x:c r="P129" s="57"/>
      <x:c r="Q129" s="57" t="str">
        <x:f>IF(OR(O129="",P129=""),"",ABS(O129-P129))</x:f>
      </x:c>
      <x:c r="R129" s="57"/>
      <x:c r="S129" s="57"/>
      <x:c r="T129" s="57"/>
      <x:c r="U129" s="57"/>
      <x:c r="V129" s="57"/>
      <x:c r="W129" s="57"/>
      <x:c r="X129" s="57"/>
      <x:c r="Y129" s="57"/>
      <x:c r="Z129" s="57"/>
      <x:c r="AA129" s="57"/>
      <x:c r="AB129" s="57"/>
      <x:c r="AC129" s="57"/>
      <x:c r="AD129" s="57"/>
    </x:row>
    <x:row r="130">
      <x:c r="A130" s="57"/>
      <x:c r="B130" s="57"/>
      <x:c r="C130" s="57" t="n">
        <x:v>129</x:v>
      </x:c>
      <x:c r="D130" s="57"/>
      <x:c r="E130" s="57"/>
      <x:c r="F130" s="57"/>
      <x:c r="G130" s="57"/>
      <x:c r="H130" s="57"/>
      <x:c r="I130" s="57"/>
      <x:c r="J130" s="57"/>
      <x:c r="K130" s="57" t="str">
        <x:f>IF(OR(I130="",J130=""),"",ABS(I130-J130))</x:f>
      </x:c>
      <x:c r="L130" s="57"/>
      <x:c r="M130" s="57"/>
      <x:c r="N130" s="57" t="str">
        <x:f>IF(OR(L130="",M130=""),"",ABS(L130-M130))</x:f>
      </x:c>
      <x:c r="O130" s="57"/>
      <x:c r="P130" s="57"/>
      <x:c r="Q130" s="57" t="str">
        <x:f>IF(OR(O130="",P130=""),"",ABS(O130-P130))</x:f>
      </x:c>
      <x:c r="R130" s="57"/>
      <x:c r="S130" s="57"/>
      <x:c r="T130" s="57"/>
      <x:c r="U130" s="57"/>
      <x:c r="V130" s="57"/>
      <x:c r="W130" s="57"/>
      <x:c r="X130" s="57"/>
      <x:c r="Y130" s="57"/>
      <x:c r="Z130" s="57"/>
      <x:c r="AA130" s="57"/>
      <x:c r="AB130" s="57"/>
      <x:c r="AC130" s="57"/>
      <x:c r="AD130" s="57"/>
    </x:row>
    <x:row r="131">
      <x:c r="A131" s="57"/>
      <x:c r="B131" s="57"/>
      <x:c r="C131" s="57" t="n">
        <x:v>130</x:v>
      </x:c>
      <x:c r="D131" s="57"/>
      <x:c r="E131" s="57"/>
      <x:c r="F131" s="57"/>
      <x:c r="G131" s="57"/>
      <x:c r="H131" s="57"/>
      <x:c r="I131" s="57"/>
      <x:c r="J131" s="57"/>
      <x:c r="K131" s="57" t="str">
        <x:f>IF(OR(I131="",J131=""),"",ABS(I131-J131))</x:f>
      </x:c>
      <x:c r="L131" s="57"/>
      <x:c r="M131" s="57"/>
      <x:c r="N131" s="57" t="str">
        <x:f>IF(OR(L131="",M131=""),"",ABS(L131-M131))</x:f>
      </x:c>
      <x:c r="O131" s="57"/>
      <x:c r="P131" s="57"/>
      <x:c r="Q131" s="57" t="str">
        <x:f>IF(OR(O131="",P131=""),"",ABS(O131-P131))</x:f>
      </x:c>
      <x:c r="R131" s="57"/>
      <x:c r="S131" s="57"/>
      <x:c r="T131" s="57"/>
      <x:c r="U131" s="57"/>
      <x:c r="V131" s="57"/>
      <x:c r="W131" s="57"/>
      <x:c r="X131" s="57"/>
      <x:c r="Y131" s="57"/>
      <x:c r="Z131" s="57"/>
      <x:c r="AA131" s="57"/>
      <x:c r="AB131" s="57"/>
      <x:c r="AC131" s="57"/>
      <x:c r="AD131" s="57"/>
    </x:row>
    <x:row r="132">
      <x:c r="A132" s="57"/>
      <x:c r="B132" s="57"/>
      <x:c r="C132" s="57" t="n">
        <x:v>131</x:v>
      </x:c>
      <x:c r="D132" s="57"/>
      <x:c r="E132" s="57"/>
      <x:c r="F132" s="57"/>
      <x:c r="G132" s="57"/>
      <x:c r="H132" s="57"/>
      <x:c r="I132" s="57"/>
      <x:c r="J132" s="57"/>
      <x:c r="K132" s="57" t="str">
        <x:f>IF(OR(I132="",J132=""),"",ABS(I132-J132))</x:f>
      </x:c>
      <x:c r="L132" s="57"/>
      <x:c r="M132" s="57"/>
      <x:c r="N132" s="57" t="str">
        <x:f>IF(OR(L132="",M132=""),"",ABS(L132-M132))</x:f>
      </x:c>
      <x:c r="O132" s="57"/>
      <x:c r="P132" s="57"/>
      <x:c r="Q132" s="57" t="str">
        <x:f>IF(OR(O132="",P132=""),"",ABS(O132-P132))</x:f>
      </x:c>
      <x:c r="R132" s="57"/>
      <x:c r="S132" s="57"/>
      <x:c r="T132" s="57"/>
      <x:c r="U132" s="57"/>
      <x:c r="V132" s="57"/>
      <x:c r="W132" s="57"/>
      <x:c r="X132" s="57"/>
      <x:c r="Y132" s="57"/>
      <x:c r="Z132" s="57"/>
      <x:c r="AA132" s="57"/>
      <x:c r="AB132" s="57"/>
      <x:c r="AC132" s="57"/>
      <x:c r="AD132" s="57"/>
    </x:row>
    <x:row r="133">
      <x:c r="A133" s="57"/>
      <x:c r="B133" s="57"/>
      <x:c r="C133" s="57" t="n">
        <x:v>132</x:v>
      </x:c>
      <x:c r="D133" s="57"/>
      <x:c r="E133" s="57"/>
      <x:c r="F133" s="57"/>
      <x:c r="G133" s="57"/>
      <x:c r="H133" s="57"/>
      <x:c r="I133" s="57"/>
      <x:c r="J133" s="57"/>
      <x:c r="K133" s="57" t="str">
        <x:f>IF(OR(I133="",J133=""),"",ABS(I133-J133))</x:f>
      </x:c>
      <x:c r="L133" s="57"/>
      <x:c r="M133" s="57"/>
      <x:c r="N133" s="57" t="str">
        <x:f>IF(OR(L133="",M133=""),"",ABS(L133-M133))</x:f>
      </x:c>
      <x:c r="O133" s="57"/>
      <x:c r="P133" s="57"/>
      <x:c r="Q133" s="57" t="str">
        <x:f>IF(OR(O133="",P133=""),"",ABS(O133-P133))</x:f>
      </x:c>
      <x:c r="R133" s="57"/>
      <x:c r="S133" s="57"/>
      <x:c r="T133" s="57"/>
      <x:c r="U133" s="57"/>
      <x:c r="V133" s="57"/>
      <x:c r="W133" s="57"/>
      <x:c r="X133" s="57"/>
      <x:c r="Y133" s="57"/>
      <x:c r="Z133" s="57"/>
      <x:c r="AA133" s="57"/>
      <x:c r="AB133" s="57"/>
      <x:c r="AC133" s="57"/>
      <x:c r="AD133" s="57"/>
    </x:row>
    <x:row r="134">
      <x:c r="A134" s="57"/>
      <x:c r="B134" s="57"/>
      <x:c r="C134" s="57" t="n">
        <x:v>133</x:v>
      </x:c>
      <x:c r="D134" s="57"/>
      <x:c r="E134" s="57"/>
      <x:c r="F134" s="57"/>
      <x:c r="G134" s="57"/>
      <x:c r="H134" s="57"/>
      <x:c r="I134" s="57"/>
      <x:c r="J134" s="57"/>
      <x:c r="K134" s="57" t="str">
        <x:f>IF(OR(I134="",J134=""),"",ABS(I134-J134))</x:f>
      </x:c>
      <x:c r="L134" s="57"/>
      <x:c r="M134" s="57"/>
      <x:c r="N134" s="57" t="str">
        <x:f>IF(OR(L134="",M134=""),"",ABS(L134-M134))</x:f>
      </x:c>
      <x:c r="O134" s="57"/>
      <x:c r="P134" s="57"/>
      <x:c r="Q134" s="57" t="str">
        <x:f>IF(OR(O134="",P134=""),"",ABS(O134-P134))</x:f>
      </x:c>
      <x:c r="R134" s="57"/>
      <x:c r="S134" s="57"/>
      <x:c r="T134" s="57"/>
      <x:c r="U134" s="57"/>
      <x:c r="V134" s="57"/>
      <x:c r="W134" s="57"/>
      <x:c r="X134" s="57"/>
      <x:c r="Y134" s="57"/>
      <x:c r="Z134" s="57"/>
      <x:c r="AA134" s="57"/>
      <x:c r="AB134" s="57"/>
      <x:c r="AC134" s="57"/>
      <x:c r="AD134" s="57"/>
    </x:row>
    <x:row r="135">
      <x:c r="A135" s="57"/>
      <x:c r="B135" s="57"/>
      <x:c r="C135" s="57" t="n">
        <x:v>134</x:v>
      </x:c>
      <x:c r="D135" s="57"/>
      <x:c r="E135" s="57"/>
      <x:c r="F135" s="57"/>
      <x:c r="G135" s="57"/>
      <x:c r="H135" s="57"/>
      <x:c r="I135" s="57"/>
      <x:c r="J135" s="57"/>
      <x:c r="K135" s="57" t="str">
        <x:f>IF(OR(I135="",J135=""),"",ABS(I135-J135))</x:f>
      </x:c>
      <x:c r="L135" s="57"/>
      <x:c r="M135" s="57"/>
      <x:c r="N135" s="57" t="str">
        <x:f>IF(OR(L135="",M135=""),"",ABS(L135-M135))</x:f>
      </x:c>
      <x:c r="O135" s="57"/>
      <x:c r="P135" s="57"/>
      <x:c r="Q135" s="57" t="str">
        <x:f>IF(OR(O135="",P135=""),"",ABS(O135-P135))</x:f>
      </x:c>
      <x:c r="R135" s="57"/>
      <x:c r="S135" s="57"/>
      <x:c r="T135" s="57"/>
      <x:c r="U135" s="57"/>
      <x:c r="V135" s="57"/>
      <x:c r="W135" s="57"/>
      <x:c r="X135" s="57"/>
      <x:c r="Y135" s="57"/>
      <x:c r="Z135" s="57"/>
      <x:c r="AA135" s="57"/>
      <x:c r="AB135" s="57"/>
      <x:c r="AC135" s="57"/>
      <x:c r="AD135" s="57"/>
    </x:row>
    <x:row r="136">
      <x:c r="A136" s="57"/>
      <x:c r="B136" s="57"/>
      <x:c r="C136" s="57" t="n">
        <x:v>135</x:v>
      </x:c>
      <x:c r="D136" s="57"/>
      <x:c r="E136" s="57"/>
      <x:c r="F136" s="57"/>
      <x:c r="G136" s="57"/>
      <x:c r="H136" s="57"/>
      <x:c r="I136" s="57"/>
      <x:c r="J136" s="57"/>
      <x:c r="K136" s="57" t="str">
        <x:f>IF(OR(I136="",J136=""),"",ABS(I136-J136))</x:f>
      </x:c>
      <x:c r="L136" s="57"/>
      <x:c r="M136" s="57"/>
      <x:c r="N136" s="57" t="str">
        <x:f>IF(OR(L136="",M136=""),"",ABS(L136-M136))</x:f>
      </x:c>
      <x:c r="O136" s="57"/>
      <x:c r="P136" s="57"/>
      <x:c r="Q136" s="57" t="str">
        <x:f>IF(OR(O136="",P136=""),"",ABS(O136-P136))</x:f>
      </x:c>
      <x:c r="R136" s="57"/>
      <x:c r="S136" s="57"/>
      <x:c r="T136" s="57"/>
      <x:c r="U136" s="57"/>
      <x:c r="V136" s="57"/>
      <x:c r="W136" s="57"/>
      <x:c r="X136" s="57"/>
      <x:c r="Y136" s="57"/>
      <x:c r="Z136" s="57"/>
      <x:c r="AA136" s="57"/>
      <x:c r="AB136" s="57"/>
      <x:c r="AC136" s="57"/>
      <x:c r="AD136" s="57"/>
    </x:row>
    <x:row r="137">
      <x:c r="A137" s="57"/>
      <x:c r="B137" s="57"/>
      <x:c r="C137" s="57" t="n">
        <x:v>136</x:v>
      </x:c>
      <x:c r="D137" s="57"/>
      <x:c r="E137" s="57"/>
      <x:c r="F137" s="57"/>
      <x:c r="G137" s="57"/>
      <x:c r="H137" s="57"/>
      <x:c r="I137" s="57"/>
      <x:c r="J137" s="57"/>
      <x:c r="K137" s="57" t="str">
        <x:f>IF(OR(I137="",J137=""),"",ABS(I137-J137))</x:f>
      </x:c>
      <x:c r="L137" s="57"/>
      <x:c r="M137" s="57"/>
      <x:c r="N137" s="57" t="str">
        <x:f>IF(OR(L137="",M137=""),"",ABS(L137-M137))</x:f>
      </x:c>
      <x:c r="O137" s="57"/>
      <x:c r="P137" s="57"/>
      <x:c r="Q137" s="57" t="str">
        <x:f>IF(OR(O137="",P137=""),"",ABS(O137-P137))</x:f>
      </x:c>
      <x:c r="R137" s="57"/>
      <x:c r="S137" s="57"/>
      <x:c r="T137" s="57"/>
      <x:c r="U137" s="57"/>
      <x:c r="V137" s="57"/>
      <x:c r="W137" s="57"/>
      <x:c r="X137" s="57"/>
      <x:c r="Y137" s="57"/>
      <x:c r="Z137" s="57"/>
      <x:c r="AA137" s="57"/>
      <x:c r="AB137" s="57"/>
      <x:c r="AC137" s="57"/>
      <x:c r="AD137" s="57"/>
    </x:row>
    <x:row r="138">
      <x:c r="A138" s="57"/>
      <x:c r="B138" s="57"/>
      <x:c r="C138" s="57" t="n">
        <x:v>137</x:v>
      </x:c>
      <x:c r="D138" s="57"/>
      <x:c r="E138" s="57"/>
      <x:c r="F138" s="57"/>
      <x:c r="G138" s="57"/>
      <x:c r="H138" s="57"/>
      <x:c r="I138" s="57"/>
      <x:c r="J138" s="57"/>
      <x:c r="K138" s="57" t="str">
        <x:f>IF(OR(I138="",J138=""),"",ABS(I138-J138))</x:f>
      </x:c>
      <x:c r="L138" s="57"/>
      <x:c r="M138" s="57"/>
      <x:c r="N138" s="57" t="str">
        <x:f>IF(OR(L138="",M138=""),"",ABS(L138-M138))</x:f>
      </x:c>
      <x:c r="O138" s="57"/>
      <x:c r="P138" s="57"/>
      <x:c r="Q138" s="57" t="str">
        <x:f>IF(OR(O138="",P138=""),"",ABS(O138-P138))</x:f>
      </x:c>
      <x:c r="R138" s="57"/>
      <x:c r="S138" s="57"/>
      <x:c r="T138" s="57"/>
      <x:c r="U138" s="57"/>
      <x:c r="V138" s="57"/>
      <x:c r="W138" s="57"/>
      <x:c r="X138" s="57"/>
      <x:c r="Y138" s="57"/>
      <x:c r="Z138" s="57"/>
      <x:c r="AA138" s="57"/>
      <x:c r="AB138" s="57"/>
      <x:c r="AC138" s="57"/>
      <x:c r="AD138" s="57"/>
    </x:row>
    <x:row r="139">
      <x:c r="A139" s="57"/>
      <x:c r="B139" s="57"/>
      <x:c r="C139" s="57" t="n">
        <x:v>138</x:v>
      </x:c>
      <x:c r="D139" s="57"/>
      <x:c r="E139" s="57"/>
      <x:c r="F139" s="57"/>
      <x:c r="G139" s="57"/>
      <x:c r="H139" s="57"/>
      <x:c r="I139" s="57"/>
      <x:c r="J139" s="57"/>
      <x:c r="K139" s="57" t="str">
        <x:f>IF(OR(I139="",J139=""),"",ABS(I139-J139))</x:f>
      </x:c>
      <x:c r="L139" s="57"/>
      <x:c r="M139" s="57"/>
      <x:c r="N139" s="57" t="str">
        <x:f>IF(OR(L139="",M139=""),"",ABS(L139-M139))</x:f>
      </x:c>
      <x:c r="O139" s="57"/>
      <x:c r="P139" s="57"/>
      <x:c r="Q139" s="57" t="str">
        <x:f>IF(OR(O139="",P139=""),"",ABS(O139-P139))</x:f>
      </x:c>
      <x:c r="R139" s="57"/>
      <x:c r="S139" s="57"/>
      <x:c r="T139" s="57"/>
      <x:c r="U139" s="57"/>
      <x:c r="V139" s="57"/>
      <x:c r="W139" s="57"/>
      <x:c r="X139" s="57"/>
      <x:c r="Y139" s="57"/>
      <x:c r="Z139" s="57"/>
      <x:c r="AA139" s="57"/>
      <x:c r="AB139" s="57"/>
      <x:c r="AC139" s="57"/>
      <x:c r="AD139" s="57"/>
    </x:row>
    <x:row r="140">
      <x:c r="A140" s="57"/>
      <x:c r="B140" s="57"/>
      <x:c r="C140" s="57" t="n">
        <x:v>139</x:v>
      </x:c>
      <x:c r="D140" s="57"/>
      <x:c r="E140" s="57"/>
      <x:c r="F140" s="57"/>
      <x:c r="G140" s="57"/>
      <x:c r="H140" s="57"/>
      <x:c r="I140" s="57"/>
      <x:c r="J140" s="57"/>
      <x:c r="K140" s="57" t="str">
        <x:f>IF(OR(I140="",J140=""),"",ABS(I140-J140))</x:f>
      </x:c>
      <x:c r="L140" s="57"/>
      <x:c r="M140" s="57"/>
      <x:c r="N140" s="57" t="str">
        <x:f>IF(OR(L140="",M140=""),"",ABS(L140-M140))</x:f>
      </x:c>
      <x:c r="O140" s="57"/>
      <x:c r="P140" s="57"/>
      <x:c r="Q140" s="57" t="str">
        <x:f>IF(OR(O140="",P140=""),"",ABS(O140-P140))</x:f>
      </x:c>
      <x:c r="R140" s="57"/>
      <x:c r="S140" s="57"/>
      <x:c r="T140" s="57"/>
      <x:c r="U140" s="57"/>
      <x:c r="V140" s="57"/>
      <x:c r="W140" s="57"/>
      <x:c r="X140" s="57"/>
      <x:c r="Y140" s="57"/>
      <x:c r="Z140" s="57"/>
      <x:c r="AA140" s="57"/>
      <x:c r="AB140" s="57"/>
      <x:c r="AC140" s="57"/>
      <x:c r="AD140" s="57"/>
    </x:row>
    <x:row r="141">
      <x:c r="A141" s="57"/>
      <x:c r="B141" s="57"/>
      <x:c r="C141" s="57" t="n">
        <x:v>140</x:v>
      </x:c>
      <x:c r="D141" s="57"/>
      <x:c r="E141" s="57"/>
      <x:c r="F141" s="57"/>
      <x:c r="G141" s="57"/>
      <x:c r="H141" s="57"/>
      <x:c r="I141" s="57"/>
      <x:c r="J141" s="57"/>
      <x:c r="K141" s="57" t="str">
        <x:f>IF(OR(I141="",J141=""),"",ABS(I141-J141))</x:f>
      </x:c>
      <x:c r="L141" s="57"/>
      <x:c r="M141" s="57"/>
      <x:c r="N141" s="57" t="str">
        <x:f>IF(OR(L141="",M141=""),"",ABS(L141-M141))</x:f>
      </x:c>
      <x:c r="O141" s="57"/>
      <x:c r="P141" s="57"/>
      <x:c r="Q141" s="57" t="str">
        <x:f>IF(OR(O141="",P141=""),"",ABS(O141-P141))</x:f>
      </x:c>
      <x:c r="R141" s="57"/>
      <x:c r="S141" s="57"/>
      <x:c r="T141" s="57"/>
      <x:c r="U141" s="57"/>
      <x:c r="V141" s="57"/>
      <x:c r="W141" s="57"/>
      <x:c r="X141" s="57"/>
      <x:c r="Y141" s="57"/>
      <x:c r="Z141" s="57"/>
      <x:c r="AA141" s="57"/>
      <x:c r="AB141" s="57"/>
      <x:c r="AC141" s="57"/>
      <x:c r="AD141" s="57"/>
    </x:row>
    <x:row r="142">
      <x:c r="A142" s="57"/>
      <x:c r="B142" s="57"/>
      <x:c r="C142" s="57" t="n">
        <x:v>141</x:v>
      </x:c>
      <x:c r="D142" s="57"/>
      <x:c r="E142" s="57"/>
      <x:c r="F142" s="57"/>
      <x:c r="G142" s="57"/>
      <x:c r="H142" s="57"/>
      <x:c r="I142" s="57"/>
      <x:c r="J142" s="57"/>
      <x:c r="K142" s="57" t="str">
        <x:f>IF(OR(I142="",J142=""),"",ABS(I142-J142))</x:f>
      </x:c>
      <x:c r="L142" s="57"/>
      <x:c r="M142" s="57"/>
      <x:c r="N142" s="57" t="str">
        <x:f>IF(OR(L142="",M142=""),"",ABS(L142-M142))</x:f>
      </x:c>
      <x:c r="O142" s="57"/>
      <x:c r="P142" s="57"/>
      <x:c r="Q142" s="57" t="str">
        <x:f>IF(OR(O142="",P142=""),"",ABS(O142-P142))</x:f>
      </x:c>
      <x:c r="R142" s="57"/>
      <x:c r="S142" s="57"/>
      <x:c r="T142" s="57"/>
      <x:c r="U142" s="57"/>
      <x:c r="V142" s="57"/>
      <x:c r="W142" s="57"/>
      <x:c r="X142" s="57"/>
      <x:c r="Y142" s="57"/>
      <x:c r="Z142" s="57"/>
      <x:c r="AA142" s="57"/>
      <x:c r="AB142" s="57"/>
      <x:c r="AC142" s="57"/>
      <x:c r="AD142" s="57"/>
    </x:row>
    <x:row r="143">
      <x:c r="A143" s="57"/>
      <x:c r="B143" s="57"/>
      <x:c r="C143" s="57" t="n">
        <x:v>142</x:v>
      </x:c>
      <x:c r="D143" s="57"/>
      <x:c r="E143" s="57"/>
      <x:c r="F143" s="57"/>
      <x:c r="G143" s="57"/>
      <x:c r="H143" s="57"/>
      <x:c r="I143" s="57"/>
      <x:c r="J143" s="57"/>
      <x:c r="K143" s="57" t="str">
        <x:f>IF(OR(I143="",J143=""),"",ABS(I143-J143))</x:f>
      </x:c>
      <x:c r="L143" s="57"/>
      <x:c r="M143" s="57"/>
      <x:c r="N143" s="57" t="str">
        <x:f>IF(OR(L143="",M143=""),"",ABS(L143-M143))</x:f>
      </x:c>
      <x:c r="O143" s="57"/>
      <x:c r="P143" s="57"/>
      <x:c r="Q143" s="57" t="str">
        <x:f>IF(OR(O143="",P143=""),"",ABS(O143-P143))</x:f>
      </x:c>
      <x:c r="R143" s="57"/>
      <x:c r="S143" s="57"/>
      <x:c r="T143" s="57"/>
      <x:c r="U143" s="57"/>
      <x:c r="V143" s="57"/>
      <x:c r="W143" s="57"/>
      <x:c r="X143" s="57"/>
      <x:c r="Y143" s="57"/>
      <x:c r="Z143" s="57"/>
      <x:c r="AA143" s="57"/>
      <x:c r="AB143" s="57"/>
      <x:c r="AC143" s="57"/>
      <x:c r="AD143" s="57"/>
    </x:row>
    <x:row r="144">
      <x:c r="A144" s="57"/>
      <x:c r="B144" s="57"/>
      <x:c r="C144" s="57" t="n">
        <x:v>143</x:v>
      </x:c>
      <x:c r="D144" s="57"/>
      <x:c r="E144" s="57"/>
      <x:c r="F144" s="57"/>
      <x:c r="G144" s="57"/>
      <x:c r="H144" s="57"/>
      <x:c r="I144" s="57"/>
      <x:c r="J144" s="57"/>
      <x:c r="K144" s="57" t="str">
        <x:f>IF(OR(I144="",J144=""),"",ABS(I144-J144))</x:f>
      </x:c>
      <x:c r="L144" s="57"/>
      <x:c r="M144" s="57"/>
      <x:c r="N144" s="57" t="str">
        <x:f>IF(OR(L144="",M144=""),"",ABS(L144-M144))</x:f>
      </x:c>
      <x:c r="O144" s="57"/>
      <x:c r="P144" s="57"/>
      <x:c r="Q144" s="57" t="str">
        <x:f>IF(OR(O144="",P144=""),"",ABS(O144-P144))</x:f>
      </x:c>
      <x:c r="R144" s="57"/>
      <x:c r="S144" s="57"/>
      <x:c r="T144" s="57"/>
      <x:c r="U144" s="57"/>
      <x:c r="V144" s="57"/>
      <x:c r="W144" s="57"/>
      <x:c r="X144" s="57"/>
      <x:c r="Y144" s="57"/>
      <x:c r="Z144" s="57"/>
      <x:c r="AA144" s="57"/>
      <x:c r="AB144" s="57"/>
      <x:c r="AC144" s="57"/>
      <x:c r="AD144" s="57"/>
    </x:row>
    <x:row r="145">
      <x:c r="A145" s="57"/>
      <x:c r="B145" s="57"/>
      <x:c r="C145" s="57" t="n">
        <x:v>144</x:v>
      </x:c>
      <x:c r="D145" s="57"/>
      <x:c r="E145" s="57"/>
      <x:c r="F145" s="57"/>
      <x:c r="G145" s="57"/>
      <x:c r="H145" s="57"/>
      <x:c r="I145" s="57"/>
      <x:c r="J145" s="57"/>
      <x:c r="K145" s="57" t="str">
        <x:f>IF(OR(I145="",J145=""),"",ABS(I145-J145))</x:f>
      </x:c>
      <x:c r="L145" s="57"/>
      <x:c r="M145" s="57"/>
      <x:c r="N145" s="57" t="str">
        <x:f>IF(OR(L145="",M145=""),"",ABS(L145-M145))</x:f>
      </x:c>
      <x:c r="O145" s="57"/>
      <x:c r="P145" s="57"/>
      <x:c r="Q145" s="57" t="str">
        <x:f>IF(OR(O145="",P145=""),"",ABS(O145-P145))</x:f>
      </x:c>
      <x:c r="R145" s="57"/>
      <x:c r="S145" s="57"/>
      <x:c r="T145" s="57"/>
      <x:c r="U145" s="57"/>
      <x:c r="V145" s="57"/>
      <x:c r="W145" s="57"/>
      <x:c r="X145" s="57"/>
      <x:c r="Y145" s="57"/>
      <x:c r="Z145" s="57"/>
      <x:c r="AA145" s="57"/>
      <x:c r="AB145" s="57"/>
      <x:c r="AC145" s="57"/>
      <x:c r="AD145" s="57"/>
    </x:row>
    <x:row r="146">
      <x:c r="A146" s="57"/>
      <x:c r="B146" s="57"/>
      <x:c r="C146" s="57" t="n">
        <x:v>145</x:v>
      </x:c>
      <x:c r="D146" s="57"/>
      <x:c r="E146" s="57"/>
      <x:c r="F146" s="57"/>
      <x:c r="G146" s="57"/>
      <x:c r="H146" s="57"/>
      <x:c r="I146" s="57"/>
      <x:c r="J146" s="57"/>
      <x:c r="K146" s="57" t="str">
        <x:f>IF(OR(I146="",J146=""),"",ABS(I146-J146))</x:f>
      </x:c>
      <x:c r="L146" s="57"/>
      <x:c r="M146" s="57"/>
      <x:c r="N146" s="57" t="str">
        <x:f>IF(OR(L146="",M146=""),"",ABS(L146-M146))</x:f>
      </x:c>
      <x:c r="O146" s="57"/>
      <x:c r="P146" s="57"/>
      <x:c r="Q146" s="57" t="str">
        <x:f>IF(OR(O146="",P146=""),"",ABS(O146-P146))</x:f>
      </x:c>
      <x:c r="R146" s="57"/>
      <x:c r="S146" s="57"/>
      <x:c r="T146" s="57"/>
      <x:c r="U146" s="57"/>
      <x:c r="V146" s="57"/>
      <x:c r="W146" s="57"/>
      <x:c r="X146" s="57"/>
      <x:c r="Y146" s="57"/>
      <x:c r="Z146" s="57"/>
      <x:c r="AA146" s="57"/>
      <x:c r="AB146" s="57"/>
      <x:c r="AC146" s="57"/>
      <x:c r="AD146" s="57"/>
    </x:row>
    <x:row r="147">
      <x:c r="A147" s="57"/>
      <x:c r="B147" s="57"/>
      <x:c r="C147" s="57" t="n">
        <x:v>146</x:v>
      </x:c>
      <x:c r="D147" s="57"/>
      <x:c r="E147" s="57"/>
      <x:c r="F147" s="57"/>
      <x:c r="G147" s="57"/>
      <x:c r="H147" s="57"/>
      <x:c r="I147" s="57"/>
      <x:c r="J147" s="57"/>
      <x:c r="K147" s="57" t="str">
        <x:f>IF(OR(I147="",J147=""),"",ABS(I147-J147))</x:f>
      </x:c>
      <x:c r="L147" s="57"/>
      <x:c r="M147" s="57"/>
      <x:c r="N147" s="57" t="str">
        <x:f>IF(OR(L147="",M147=""),"",ABS(L147-M147))</x:f>
      </x:c>
      <x:c r="O147" s="57"/>
      <x:c r="P147" s="57"/>
      <x:c r="Q147" s="57" t="str">
        <x:f>IF(OR(O147="",P147=""),"",ABS(O147-P147))</x:f>
      </x:c>
      <x:c r="R147" s="57"/>
      <x:c r="S147" s="57"/>
      <x:c r="T147" s="57"/>
      <x:c r="U147" s="57"/>
      <x:c r="V147" s="57"/>
      <x:c r="W147" s="57"/>
      <x:c r="X147" s="57"/>
      <x:c r="Y147" s="57"/>
      <x:c r="Z147" s="57"/>
      <x:c r="AA147" s="57"/>
      <x:c r="AB147" s="57"/>
      <x:c r="AC147" s="57"/>
      <x:c r="AD147" s="57"/>
    </x:row>
    <x:row r="148">
      <x:c r="A148" s="57"/>
      <x:c r="B148" s="57"/>
      <x:c r="C148" s="57" t="n">
        <x:v>147</x:v>
      </x:c>
      <x:c r="D148" s="57"/>
      <x:c r="E148" s="57"/>
      <x:c r="F148" s="57"/>
      <x:c r="G148" s="57"/>
      <x:c r="H148" s="57"/>
      <x:c r="I148" s="57"/>
      <x:c r="J148" s="57"/>
      <x:c r="K148" s="57" t="str">
        <x:f>IF(OR(I148="",J148=""),"",ABS(I148-J148))</x:f>
      </x:c>
      <x:c r="L148" s="57"/>
      <x:c r="M148" s="57"/>
      <x:c r="N148" s="57" t="str">
        <x:f>IF(OR(L148="",M148=""),"",ABS(L148-M148))</x:f>
      </x:c>
      <x:c r="O148" s="57"/>
      <x:c r="P148" s="57"/>
      <x:c r="Q148" s="57" t="str">
        <x:f>IF(OR(O148="",P148=""),"",ABS(O148-P148))</x:f>
      </x:c>
      <x:c r="R148" s="57"/>
      <x:c r="S148" s="57"/>
      <x:c r="T148" s="57"/>
      <x:c r="U148" s="57"/>
      <x:c r="V148" s="57"/>
      <x:c r="W148" s="57"/>
      <x:c r="X148" s="57"/>
      <x:c r="Y148" s="57"/>
      <x:c r="Z148" s="57"/>
      <x:c r="AA148" s="57"/>
      <x:c r="AB148" s="57"/>
      <x:c r="AC148" s="57"/>
      <x:c r="AD148" s="57"/>
    </x:row>
    <x:row r="149">
      <x:c r="A149" s="57"/>
      <x:c r="B149" s="57"/>
      <x:c r="C149" s="57" t="n">
        <x:v>148</x:v>
      </x:c>
      <x:c r="D149" s="57"/>
      <x:c r="E149" s="57"/>
      <x:c r="F149" s="57"/>
      <x:c r="G149" s="57"/>
      <x:c r="H149" s="57"/>
      <x:c r="I149" s="57"/>
      <x:c r="J149" s="57"/>
      <x:c r="K149" s="57" t="str">
        <x:f>IF(OR(I149="",J149=""),"",ABS(I149-J149))</x:f>
      </x:c>
      <x:c r="L149" s="57"/>
      <x:c r="M149" s="57"/>
      <x:c r="N149" s="57" t="str">
        <x:f>IF(OR(L149="",M149=""),"",ABS(L149-M149))</x:f>
      </x:c>
      <x:c r="O149" s="57"/>
      <x:c r="P149" s="57"/>
      <x:c r="Q149" s="57" t="str">
        <x:f>IF(OR(O149="",P149=""),"",ABS(O149-P149))</x:f>
      </x:c>
      <x:c r="R149" s="57"/>
      <x:c r="S149" s="57"/>
      <x:c r="T149" s="57"/>
      <x:c r="U149" s="57"/>
      <x:c r="V149" s="57"/>
      <x:c r="W149" s="57"/>
      <x:c r="X149" s="57"/>
      <x:c r="Y149" s="57"/>
      <x:c r="Z149" s="57"/>
      <x:c r="AA149" s="57"/>
      <x:c r="AB149" s="57"/>
      <x:c r="AC149" s="57"/>
      <x:c r="AD149" s="57"/>
    </x:row>
    <x:row r="150">
      <x:c r="A150" s="57"/>
      <x:c r="B150" s="57"/>
      <x:c r="C150" s="57" t="n">
        <x:v>149</x:v>
      </x:c>
      <x:c r="D150" s="57"/>
      <x:c r="E150" s="57"/>
      <x:c r="F150" s="57"/>
      <x:c r="G150" s="57"/>
      <x:c r="H150" s="57"/>
      <x:c r="I150" s="57"/>
      <x:c r="J150" s="57"/>
      <x:c r="K150" s="57" t="str">
        <x:f>IF(OR(I150="",J150=""),"",ABS(I150-J150))</x:f>
      </x:c>
      <x:c r="L150" s="57"/>
      <x:c r="M150" s="57"/>
      <x:c r="N150" s="57" t="str">
        <x:f>IF(OR(L150="",M150=""),"",ABS(L150-M150))</x:f>
      </x:c>
      <x:c r="O150" s="57"/>
      <x:c r="P150" s="57"/>
      <x:c r="Q150" s="57" t="str">
        <x:f>IF(OR(O150="",P150=""),"",ABS(O150-P150))</x:f>
      </x:c>
      <x:c r="R150" s="57"/>
      <x:c r="S150" s="57"/>
      <x:c r="T150" s="57"/>
      <x:c r="U150" s="57"/>
      <x:c r="V150" s="57"/>
      <x:c r="W150" s="57"/>
      <x:c r="X150" s="57"/>
      <x:c r="Y150" s="57"/>
      <x:c r="Z150" s="57"/>
      <x:c r="AA150" s="57"/>
      <x:c r="AB150" s="57"/>
      <x:c r="AC150" s="57"/>
      <x:c r="AD150" s="57"/>
    </x:row>
    <x:row r="151">
      <x:c r="A151" s="57"/>
      <x:c r="B151" s="57"/>
      <x:c r="C151" s="57" t="n">
        <x:v>150</x:v>
      </x:c>
      <x:c r="D151" s="57"/>
      <x:c r="E151" s="57"/>
      <x:c r="F151" s="57"/>
      <x:c r="G151" s="57"/>
      <x:c r="H151" s="57"/>
      <x:c r="I151" s="57"/>
      <x:c r="J151" s="57"/>
      <x:c r="K151" s="57" t="str">
        <x:f>IF(OR(I151="",J151=""),"",ABS(I151-J151))</x:f>
      </x:c>
      <x:c r="L151" s="57"/>
      <x:c r="M151" s="57"/>
      <x:c r="N151" s="57" t="str">
        <x:f>IF(OR(L151="",M151=""),"",ABS(L151-M151))</x:f>
      </x:c>
      <x:c r="O151" s="57"/>
      <x:c r="P151" s="57"/>
      <x:c r="Q151" s="57" t="str">
        <x:f>IF(OR(O151="",P151=""),"",ABS(O151-P151))</x:f>
      </x:c>
      <x:c r="R151" s="57"/>
      <x:c r="S151" s="57"/>
      <x:c r="T151" s="57"/>
      <x:c r="U151" s="57"/>
      <x:c r="V151" s="57"/>
      <x:c r="W151" s="57"/>
      <x:c r="X151" s="57"/>
      <x:c r="Y151" s="57"/>
      <x:c r="Z151" s="57"/>
      <x:c r="AA151" s="57"/>
      <x:c r="AB151" s="57"/>
      <x:c r="AC151" s="57"/>
      <x:c r="AD151" s="57"/>
    </x:row>
    <x:row r="152">
      <x:c r="A152" s="57"/>
      <x:c r="B152" s="57"/>
      <x:c r="C152" s="57" t="n">
        <x:v>151</x:v>
      </x:c>
      <x:c r="D152" s="57"/>
      <x:c r="E152" s="57"/>
      <x:c r="F152" s="57"/>
      <x:c r="G152" s="57"/>
      <x:c r="H152" s="57"/>
      <x:c r="I152" s="57"/>
      <x:c r="J152" s="57"/>
      <x:c r="K152" s="57" t="str">
        <x:f>IF(OR(I152="",J152=""),"",ABS(I152-J152))</x:f>
      </x:c>
      <x:c r="L152" s="57"/>
      <x:c r="M152" s="57"/>
      <x:c r="N152" s="57" t="str">
        <x:f>IF(OR(L152="",M152=""),"",ABS(L152-M152))</x:f>
      </x:c>
      <x:c r="O152" s="57"/>
      <x:c r="P152" s="57"/>
      <x:c r="Q152" s="57" t="str">
        <x:f>IF(OR(O152="",P152=""),"",ABS(O152-P152))</x:f>
      </x:c>
      <x:c r="R152" s="57"/>
      <x:c r="S152" s="57"/>
      <x:c r="T152" s="57"/>
      <x:c r="U152" s="57"/>
      <x:c r="V152" s="57"/>
      <x:c r="W152" s="57"/>
      <x:c r="X152" s="57"/>
      <x:c r="Y152" s="57"/>
      <x:c r="Z152" s="57"/>
      <x:c r="AA152" s="57"/>
      <x:c r="AB152" s="57"/>
      <x:c r="AC152" s="57"/>
      <x:c r="AD152" s="57"/>
    </x:row>
    <x:row r="153">
      <x:c r="A153" s="57"/>
      <x:c r="B153" s="57"/>
      <x:c r="C153" s="57" t="n">
        <x:v>152</x:v>
      </x:c>
      <x:c r="D153" s="57"/>
      <x:c r="E153" s="57"/>
      <x:c r="F153" s="57"/>
      <x:c r="G153" s="57"/>
      <x:c r="H153" s="57"/>
      <x:c r="I153" s="57"/>
      <x:c r="J153" s="57"/>
      <x:c r="K153" s="57" t="str">
        <x:f>IF(OR(I153="",J153=""),"",ABS(I153-J153))</x:f>
      </x:c>
      <x:c r="L153" s="57"/>
      <x:c r="M153" s="57"/>
      <x:c r="N153" s="57" t="str">
        <x:f>IF(OR(L153="",M153=""),"",ABS(L153-M153))</x:f>
      </x:c>
      <x:c r="O153" s="57"/>
      <x:c r="P153" s="57"/>
      <x:c r="Q153" s="57" t="str">
        <x:f>IF(OR(O153="",P153=""),"",ABS(O153-P153))</x:f>
      </x:c>
      <x:c r="R153" s="57"/>
      <x:c r="S153" s="57"/>
      <x:c r="T153" s="57"/>
      <x:c r="U153" s="57"/>
      <x:c r="V153" s="57"/>
      <x:c r="W153" s="57"/>
      <x:c r="X153" s="57"/>
      <x:c r="Y153" s="57"/>
      <x:c r="Z153" s="57"/>
      <x:c r="AA153" s="57"/>
      <x:c r="AB153" s="57"/>
      <x:c r="AC153" s="57"/>
      <x:c r="AD153" s="57"/>
    </x:row>
    <x:row r="154">
      <x:c r="A154" s="57"/>
      <x:c r="B154" s="57"/>
      <x:c r="C154" s="57" t="n">
        <x:v>153</x:v>
      </x:c>
      <x:c r="D154" s="57"/>
      <x:c r="E154" s="57"/>
      <x:c r="F154" s="57"/>
      <x:c r="G154" s="57"/>
      <x:c r="H154" s="57"/>
      <x:c r="I154" s="57"/>
      <x:c r="J154" s="57"/>
      <x:c r="K154" s="57" t="str">
        <x:f>IF(OR(I154="",J154=""),"",ABS(I154-J154))</x:f>
      </x:c>
      <x:c r="L154" s="57"/>
      <x:c r="M154" s="57"/>
      <x:c r="N154" s="57" t="str">
        <x:f>IF(OR(L154="",M154=""),"",ABS(L154-M154))</x:f>
      </x:c>
      <x:c r="O154" s="57"/>
      <x:c r="P154" s="57"/>
      <x:c r="Q154" s="57" t="str">
        <x:f>IF(OR(O154="",P154=""),"",ABS(O154-P154))</x:f>
      </x:c>
      <x:c r="R154" s="57"/>
      <x:c r="S154" s="57"/>
      <x:c r="T154" s="57"/>
      <x:c r="U154" s="57"/>
      <x:c r="V154" s="57"/>
      <x:c r="W154" s="57"/>
      <x:c r="X154" s="57"/>
      <x:c r="Y154" s="57"/>
      <x:c r="Z154" s="57"/>
      <x:c r="AA154" s="57"/>
      <x:c r="AB154" s="57"/>
      <x:c r="AC154" s="57"/>
      <x:c r="AD154" s="57"/>
    </x:row>
    <x:row r="155">
      <x:c r="A155" s="57"/>
      <x:c r="B155" s="57"/>
      <x:c r="C155" s="57" t="n">
        <x:v>154</x:v>
      </x:c>
      <x:c r="D155" s="57"/>
      <x:c r="E155" s="57"/>
      <x:c r="F155" s="57"/>
      <x:c r="G155" s="57"/>
      <x:c r="H155" s="57"/>
      <x:c r="I155" s="57"/>
      <x:c r="J155" s="57"/>
      <x:c r="K155" s="57" t="str">
        <x:f>IF(OR(I155="",J155=""),"",ABS(I155-J155))</x:f>
      </x:c>
      <x:c r="L155" s="57"/>
      <x:c r="M155" s="57"/>
      <x:c r="N155" s="57" t="str">
        <x:f>IF(OR(L155="",M155=""),"",ABS(L155-M155))</x:f>
      </x:c>
      <x:c r="O155" s="57"/>
      <x:c r="P155" s="57"/>
      <x:c r="Q155" s="57" t="str">
        <x:f>IF(OR(O155="",P155=""),"",ABS(O155-P155))</x:f>
      </x:c>
      <x:c r="R155" s="57"/>
      <x:c r="S155" s="57"/>
      <x:c r="T155" s="57"/>
      <x:c r="U155" s="57"/>
      <x:c r="V155" s="57"/>
      <x:c r="W155" s="57"/>
      <x:c r="X155" s="57"/>
      <x:c r="Y155" s="57"/>
      <x:c r="Z155" s="57"/>
      <x:c r="AA155" s="57"/>
      <x:c r="AB155" s="57"/>
      <x:c r="AC155" s="57"/>
      <x:c r="AD155" s="57"/>
    </x:row>
    <x:row r="156">
      <x:c r="A156" s="57"/>
      <x:c r="B156" s="57"/>
      <x:c r="C156" s="57" t="n">
        <x:v>155</x:v>
      </x:c>
      <x:c r="D156" s="57"/>
      <x:c r="E156" s="57"/>
      <x:c r="F156" s="57"/>
      <x:c r="G156" s="57"/>
      <x:c r="H156" s="57"/>
      <x:c r="I156" s="57"/>
      <x:c r="J156" s="57"/>
      <x:c r="K156" s="57" t="str">
        <x:f>IF(OR(I156="",J156=""),"",ABS(I156-J156))</x:f>
      </x:c>
      <x:c r="L156" s="57"/>
      <x:c r="M156" s="57"/>
      <x:c r="N156" s="57" t="str">
        <x:f>IF(OR(L156="",M156=""),"",ABS(L156-M156))</x:f>
      </x:c>
      <x:c r="O156" s="57"/>
      <x:c r="P156" s="57"/>
      <x:c r="Q156" s="57" t="str">
        <x:f>IF(OR(O156="",P156=""),"",ABS(O156-P156))</x:f>
      </x:c>
      <x:c r="R156" s="57"/>
      <x:c r="S156" s="57"/>
      <x:c r="T156" s="57"/>
      <x:c r="U156" s="57"/>
      <x:c r="V156" s="57"/>
      <x:c r="W156" s="57"/>
      <x:c r="X156" s="57"/>
      <x:c r="Y156" s="57"/>
      <x:c r="Z156" s="57"/>
      <x:c r="AA156" s="57"/>
      <x:c r="AB156" s="57"/>
      <x:c r="AC156" s="57"/>
      <x:c r="AD156" s="57"/>
    </x:row>
    <x:row r="157">
      <x:c r="A157" s="57"/>
      <x:c r="B157" s="57"/>
      <x:c r="C157" s="57" t="n">
        <x:v>156</x:v>
      </x:c>
      <x:c r="D157" s="57"/>
      <x:c r="E157" s="57"/>
      <x:c r="F157" s="57"/>
      <x:c r="G157" s="57"/>
      <x:c r="H157" s="57"/>
      <x:c r="I157" s="57"/>
      <x:c r="J157" s="57"/>
      <x:c r="K157" s="57" t="str">
        <x:f>IF(OR(I157="",J157=""),"",ABS(I157-J157))</x:f>
      </x:c>
      <x:c r="L157" s="57"/>
      <x:c r="M157" s="57"/>
      <x:c r="N157" s="57" t="str">
        <x:f>IF(OR(L157="",M157=""),"",ABS(L157-M157))</x:f>
      </x:c>
      <x:c r="O157" s="57"/>
      <x:c r="P157" s="57"/>
      <x:c r="Q157" s="57" t="str">
        <x:f>IF(OR(O157="",P157=""),"",ABS(O157-P157))</x:f>
      </x:c>
      <x:c r="R157" s="57"/>
      <x:c r="S157" s="57"/>
      <x:c r="T157" s="57"/>
      <x:c r="U157" s="57"/>
      <x:c r="V157" s="57"/>
      <x:c r="W157" s="57"/>
      <x:c r="X157" s="57"/>
      <x:c r="Y157" s="57"/>
      <x:c r="Z157" s="57"/>
      <x:c r="AA157" s="57"/>
      <x:c r="AB157" s="57"/>
      <x:c r="AC157" s="57"/>
      <x:c r="AD157" s="57"/>
    </x:row>
    <x:row r="158">
      <x:c r="A158" s="57"/>
      <x:c r="B158" s="57"/>
      <x:c r="C158" s="57" t="n">
        <x:v>157</x:v>
      </x:c>
      <x:c r="D158" s="57"/>
      <x:c r="E158" s="57"/>
      <x:c r="F158" s="57"/>
      <x:c r="G158" s="57"/>
      <x:c r="H158" s="57"/>
      <x:c r="I158" s="57"/>
      <x:c r="J158" s="57"/>
      <x:c r="K158" s="57" t="str">
        <x:f>IF(OR(I158="",J158=""),"",ABS(I158-J158))</x:f>
      </x:c>
      <x:c r="L158" s="57"/>
      <x:c r="M158" s="57"/>
      <x:c r="N158" s="57" t="str">
        <x:f>IF(OR(L158="",M158=""),"",ABS(L158-M158))</x:f>
      </x:c>
      <x:c r="O158" s="57"/>
      <x:c r="P158" s="57"/>
      <x:c r="Q158" s="57" t="str">
        <x:f>IF(OR(O158="",P158=""),"",ABS(O158-P158))</x:f>
      </x:c>
      <x:c r="R158" s="57"/>
      <x:c r="S158" s="57"/>
      <x:c r="T158" s="57"/>
      <x:c r="U158" s="57"/>
      <x:c r="V158" s="57"/>
      <x:c r="W158" s="57"/>
      <x:c r="X158" s="57"/>
      <x:c r="Y158" s="57"/>
      <x:c r="Z158" s="57"/>
      <x:c r="AA158" s="57"/>
      <x:c r="AB158" s="57"/>
      <x:c r="AC158" s="57"/>
      <x:c r="AD158" s="57"/>
    </x:row>
    <x:row r="159">
      <x:c r="A159" s="57"/>
      <x:c r="B159" s="57"/>
      <x:c r="C159" s="57" t="n">
        <x:v>158</x:v>
      </x:c>
      <x:c r="D159" s="57"/>
      <x:c r="E159" s="57"/>
      <x:c r="F159" s="57"/>
      <x:c r="G159" s="57"/>
      <x:c r="H159" s="57"/>
      <x:c r="I159" s="57"/>
      <x:c r="J159" s="57"/>
      <x:c r="K159" s="57" t="str">
        <x:f>IF(OR(I159="",J159=""),"",ABS(I159-J159))</x:f>
      </x:c>
      <x:c r="L159" s="57"/>
      <x:c r="M159" s="57"/>
      <x:c r="N159" s="57" t="str">
        <x:f>IF(OR(L159="",M159=""),"",ABS(L159-M159))</x:f>
      </x:c>
      <x:c r="O159" s="57"/>
      <x:c r="P159" s="57"/>
      <x:c r="Q159" s="57" t="str">
        <x:f>IF(OR(O159="",P159=""),"",ABS(O159-P159))</x:f>
      </x:c>
      <x:c r="R159" s="57"/>
      <x:c r="S159" s="57"/>
      <x:c r="T159" s="57"/>
      <x:c r="U159" s="57"/>
      <x:c r="V159" s="57"/>
      <x:c r="W159" s="57"/>
      <x:c r="X159" s="57"/>
      <x:c r="Y159" s="57"/>
      <x:c r="Z159" s="57"/>
      <x:c r="AA159" s="57"/>
      <x:c r="AB159" s="57"/>
      <x:c r="AC159" s="57"/>
      <x:c r="AD159" s="57"/>
    </x:row>
    <x:row r="160">
      <x:c r="A160" s="57"/>
      <x:c r="B160" s="57"/>
      <x:c r="C160" s="57" t="n">
        <x:v>159</x:v>
      </x:c>
      <x:c r="D160" s="57"/>
      <x:c r="E160" s="57"/>
      <x:c r="F160" s="57"/>
      <x:c r="G160" s="57"/>
      <x:c r="H160" s="57"/>
      <x:c r="I160" s="57"/>
      <x:c r="J160" s="57"/>
      <x:c r="K160" s="57" t="str">
        <x:f>IF(OR(I160="",J160=""),"",ABS(I160-J160))</x:f>
      </x:c>
      <x:c r="L160" s="57"/>
      <x:c r="M160" s="57"/>
      <x:c r="N160" s="57" t="str">
        <x:f>IF(OR(L160="",M160=""),"",ABS(L160-M160))</x:f>
      </x:c>
      <x:c r="O160" s="57"/>
      <x:c r="P160" s="57"/>
      <x:c r="Q160" s="57" t="str">
        <x:f>IF(OR(O160="",P160=""),"",ABS(O160-P160))</x:f>
      </x:c>
      <x:c r="R160" s="57"/>
      <x:c r="S160" s="57"/>
      <x:c r="T160" s="57"/>
      <x:c r="U160" s="57"/>
      <x:c r="V160" s="57"/>
      <x:c r="W160" s="57"/>
      <x:c r="X160" s="57"/>
      <x:c r="Y160" s="57"/>
      <x:c r="Z160" s="57"/>
      <x:c r="AA160" s="57"/>
      <x:c r="AB160" s="57"/>
      <x:c r="AC160" s="57"/>
      <x:c r="AD160" s="57"/>
    </x:row>
    <x:row r="161">
      <x:c r="A161" s="57"/>
      <x:c r="B161" s="57"/>
      <x:c r="C161" s="57" t="n">
        <x:v>160</x:v>
      </x:c>
      <x:c r="D161" s="57"/>
      <x:c r="E161" s="57"/>
      <x:c r="F161" s="57"/>
      <x:c r="G161" s="57"/>
      <x:c r="H161" s="57"/>
      <x:c r="I161" s="57"/>
      <x:c r="J161" s="57"/>
      <x:c r="K161" s="57" t="str">
        <x:f>IF(OR(I161="",J161=""),"",ABS(I161-J161))</x:f>
      </x:c>
      <x:c r="L161" s="57"/>
      <x:c r="M161" s="57"/>
      <x:c r="N161" s="57" t="str">
        <x:f>IF(OR(L161="",M161=""),"",ABS(L161-M161))</x:f>
      </x:c>
      <x:c r="O161" s="57"/>
      <x:c r="P161" s="57"/>
      <x:c r="Q161" s="57" t="str">
        <x:f>IF(OR(O161="",P161=""),"",ABS(O161-P161))</x:f>
      </x:c>
      <x:c r="R161" s="57"/>
      <x:c r="S161" s="57"/>
      <x:c r="T161" s="57"/>
      <x:c r="U161" s="57"/>
      <x:c r="V161" s="57"/>
      <x:c r="W161" s="57"/>
      <x:c r="X161" s="57"/>
      <x:c r="Y161" s="57"/>
      <x:c r="Z161" s="57"/>
      <x:c r="AA161" s="57"/>
      <x:c r="AB161" s="57"/>
      <x:c r="AC161" s="57"/>
      <x:c r="AD161" s="57"/>
    </x:row>
    <x:row r="162">
      <x:c r="A162" s="57"/>
      <x:c r="B162" s="57"/>
      <x:c r="C162" s="57" t="n">
        <x:v>161</x:v>
      </x:c>
      <x:c r="D162" s="57"/>
      <x:c r="E162" s="57"/>
      <x:c r="F162" s="57"/>
      <x:c r="G162" s="57"/>
      <x:c r="H162" s="57"/>
      <x:c r="I162" s="57"/>
      <x:c r="J162" s="57"/>
      <x:c r="K162" s="57" t="str">
        <x:f>IF(OR(I162="",J162=""),"",ABS(I162-J162))</x:f>
      </x:c>
      <x:c r="L162" s="57"/>
      <x:c r="M162" s="57"/>
      <x:c r="N162" s="57" t="str">
        <x:f>IF(OR(L162="",M162=""),"",ABS(L162-M162))</x:f>
      </x:c>
      <x:c r="O162" s="57"/>
      <x:c r="P162" s="57"/>
      <x:c r="Q162" s="57" t="str">
        <x:f>IF(OR(O162="",P162=""),"",ABS(O162-P162))</x:f>
      </x:c>
      <x:c r="R162" s="57"/>
      <x:c r="S162" s="57"/>
      <x:c r="T162" s="57"/>
      <x:c r="U162" s="57"/>
      <x:c r="V162" s="57"/>
      <x:c r="W162" s="57"/>
      <x:c r="X162" s="57"/>
      <x:c r="Y162" s="57"/>
      <x:c r="Z162" s="57"/>
      <x:c r="AA162" s="57"/>
      <x:c r="AB162" s="57"/>
      <x:c r="AC162" s="57"/>
      <x:c r="AD162" s="57"/>
    </x:row>
    <x:row r="163">
      <x:c r="A163" s="57"/>
      <x:c r="B163" s="57"/>
      <x:c r="C163" s="57" t="n">
        <x:v>162</x:v>
      </x:c>
      <x:c r="D163" s="57"/>
      <x:c r="E163" s="57"/>
      <x:c r="F163" s="57"/>
      <x:c r="G163" s="57"/>
      <x:c r="H163" s="57"/>
      <x:c r="I163" s="57"/>
      <x:c r="J163" s="57"/>
      <x:c r="K163" s="57" t="str">
        <x:f>IF(OR(I163="",J163=""),"",ABS(I163-J163))</x:f>
      </x:c>
      <x:c r="L163" s="57"/>
      <x:c r="M163" s="57"/>
      <x:c r="N163" s="57" t="str">
        <x:f>IF(OR(L163="",M163=""),"",ABS(L163-M163))</x:f>
      </x:c>
      <x:c r="O163" s="57"/>
      <x:c r="P163" s="57"/>
      <x:c r="Q163" s="57" t="str">
        <x:f>IF(OR(O163="",P163=""),"",ABS(O163-P163))</x:f>
      </x:c>
      <x:c r="R163" s="57"/>
      <x:c r="S163" s="57"/>
      <x:c r="T163" s="57"/>
      <x:c r="U163" s="57"/>
      <x:c r="V163" s="57"/>
      <x:c r="W163" s="57"/>
      <x:c r="X163" s="57"/>
      <x:c r="Y163" s="57"/>
      <x:c r="Z163" s="57"/>
      <x:c r="AA163" s="57"/>
      <x:c r="AB163" s="57"/>
      <x:c r="AC163" s="57"/>
      <x:c r="AD163" s="57"/>
    </x:row>
    <x:row r="164">
      <x:c r="A164" s="57"/>
      <x:c r="B164" s="57"/>
      <x:c r="C164" s="57" t="n">
        <x:v>163</x:v>
      </x:c>
      <x:c r="D164" s="57"/>
      <x:c r="E164" s="57"/>
      <x:c r="F164" s="57"/>
      <x:c r="G164" s="57"/>
      <x:c r="H164" s="57"/>
      <x:c r="I164" s="57"/>
      <x:c r="J164" s="57"/>
      <x:c r="K164" s="57" t="str">
        <x:f>IF(OR(I164="",J164=""),"",ABS(I164-J164))</x:f>
      </x:c>
      <x:c r="L164" s="57"/>
      <x:c r="M164" s="57"/>
      <x:c r="N164" s="57" t="str">
        <x:f>IF(OR(L164="",M164=""),"",ABS(L164-M164))</x:f>
      </x:c>
      <x:c r="O164" s="57"/>
      <x:c r="P164" s="57"/>
      <x:c r="Q164" s="57" t="str">
        <x:f>IF(OR(O164="",P164=""),"",ABS(O164-P164))</x:f>
      </x:c>
      <x:c r="R164" s="57"/>
      <x:c r="S164" s="57"/>
      <x:c r="T164" s="57"/>
      <x:c r="U164" s="57"/>
      <x:c r="V164" s="57"/>
      <x:c r="W164" s="57"/>
      <x:c r="X164" s="57"/>
      <x:c r="Y164" s="57"/>
      <x:c r="Z164" s="57"/>
      <x:c r="AA164" s="57"/>
      <x:c r="AB164" s="57"/>
      <x:c r="AC164" s="57"/>
      <x:c r="AD164" s="57"/>
    </x:row>
    <x:row r="165">
      <x:c r="A165" s="57"/>
      <x:c r="B165" s="57"/>
      <x:c r="C165" s="57" t="n">
        <x:v>164</x:v>
      </x:c>
      <x:c r="D165" s="57"/>
      <x:c r="E165" s="57"/>
      <x:c r="F165" s="57"/>
      <x:c r="G165" s="57"/>
      <x:c r="H165" s="57"/>
      <x:c r="I165" s="57"/>
      <x:c r="J165" s="57"/>
      <x:c r="K165" s="57" t="str">
        <x:f>IF(OR(I165="",J165=""),"",ABS(I165-J165))</x:f>
      </x:c>
      <x:c r="L165" s="57"/>
      <x:c r="M165" s="57"/>
      <x:c r="N165" s="57" t="str">
        <x:f>IF(OR(L165="",M165=""),"",ABS(L165-M165))</x:f>
      </x:c>
      <x:c r="O165" s="57"/>
      <x:c r="P165" s="57"/>
      <x:c r="Q165" s="57" t="str">
        <x:f>IF(OR(O165="",P165=""),"",ABS(O165-P165))</x:f>
      </x:c>
      <x:c r="R165" s="57"/>
      <x:c r="S165" s="57"/>
      <x:c r="T165" s="57"/>
      <x:c r="U165" s="57"/>
      <x:c r="V165" s="57"/>
      <x:c r="W165" s="57"/>
      <x:c r="X165" s="57"/>
      <x:c r="Y165" s="57"/>
      <x:c r="Z165" s="57"/>
      <x:c r="AA165" s="57"/>
      <x:c r="AB165" s="57"/>
      <x:c r="AC165" s="57"/>
      <x:c r="AD165" s="57"/>
    </x:row>
    <x:row r="166">
      <x:c r="A166" s="57"/>
      <x:c r="B166" s="57"/>
      <x:c r="C166" s="57" t="n">
        <x:v>165</x:v>
      </x:c>
      <x:c r="D166" s="57"/>
      <x:c r="E166" s="57"/>
      <x:c r="F166" s="57"/>
      <x:c r="G166" s="57"/>
      <x:c r="H166" s="57"/>
      <x:c r="I166" s="57"/>
      <x:c r="J166" s="57"/>
      <x:c r="K166" s="57" t="str">
        <x:f>IF(OR(I166="",J166=""),"",ABS(I166-J166))</x:f>
      </x:c>
      <x:c r="L166" s="57"/>
      <x:c r="M166" s="57"/>
      <x:c r="N166" s="57" t="str">
        <x:f>IF(OR(L166="",M166=""),"",ABS(L166-M166))</x:f>
      </x:c>
      <x:c r="O166" s="57"/>
      <x:c r="P166" s="57"/>
      <x:c r="Q166" s="57" t="str">
        <x:f>IF(OR(O166="",P166=""),"",ABS(O166-P166))</x:f>
      </x:c>
      <x:c r="R166" s="57"/>
      <x:c r="S166" s="57"/>
      <x:c r="T166" s="57"/>
      <x:c r="U166" s="57"/>
      <x:c r="V166" s="57"/>
      <x:c r="W166" s="57"/>
      <x:c r="X166" s="57"/>
      <x:c r="Y166" s="57"/>
      <x:c r="Z166" s="57"/>
      <x:c r="AA166" s="57"/>
      <x:c r="AB166" s="57"/>
      <x:c r="AC166" s="57"/>
      <x:c r="AD166" s="57"/>
    </x:row>
    <x:row r="167">
      <x:c r="A167" s="57"/>
      <x:c r="B167" s="57"/>
      <x:c r="C167" s="57" t="n">
        <x:v>166</x:v>
      </x:c>
      <x:c r="D167" s="57"/>
      <x:c r="E167" s="57"/>
      <x:c r="F167" s="57"/>
      <x:c r="G167" s="57"/>
      <x:c r="H167" s="57"/>
      <x:c r="I167" s="57"/>
      <x:c r="J167" s="57"/>
      <x:c r="K167" s="57" t="str">
        <x:f>IF(OR(I167="",J167=""),"",ABS(I167-J167))</x:f>
      </x:c>
      <x:c r="L167" s="57"/>
      <x:c r="M167" s="57"/>
      <x:c r="N167" s="57" t="str">
        <x:f>IF(OR(L167="",M167=""),"",ABS(L167-M167))</x:f>
      </x:c>
      <x:c r="O167" s="57"/>
      <x:c r="P167" s="57"/>
      <x:c r="Q167" s="57" t="str">
        <x:f>IF(OR(O167="",P167=""),"",ABS(O167-P167))</x:f>
      </x:c>
      <x:c r="R167" s="57"/>
      <x:c r="S167" s="57"/>
      <x:c r="T167" s="57"/>
      <x:c r="U167" s="57"/>
      <x:c r="V167" s="57"/>
      <x:c r="W167" s="57"/>
      <x:c r="X167" s="57"/>
      <x:c r="Y167" s="57"/>
      <x:c r="Z167" s="57"/>
      <x:c r="AA167" s="57"/>
      <x:c r="AB167" s="57"/>
      <x:c r="AC167" s="57"/>
      <x:c r="AD167" s="57"/>
    </x:row>
    <x:row r="168">
      <x:c r="A168" s="57"/>
      <x:c r="B168" s="57"/>
      <x:c r="C168" s="57" t="n">
        <x:v>167</x:v>
      </x:c>
      <x:c r="D168" s="57"/>
      <x:c r="E168" s="57"/>
      <x:c r="F168" s="57"/>
      <x:c r="G168" s="57"/>
      <x:c r="H168" s="57"/>
      <x:c r="I168" s="57"/>
      <x:c r="J168" s="57"/>
      <x:c r="K168" s="57" t="str">
        <x:f>IF(OR(I168="",J168=""),"",ABS(I168-J168))</x:f>
      </x:c>
      <x:c r="L168" s="57"/>
      <x:c r="M168" s="57"/>
      <x:c r="N168" s="57" t="str">
        <x:f>IF(OR(L168="",M168=""),"",ABS(L168-M168))</x:f>
      </x:c>
      <x:c r="O168" s="57"/>
      <x:c r="P168" s="57"/>
      <x:c r="Q168" s="57" t="str">
        <x:f>IF(OR(O168="",P168=""),"",ABS(O168-P168))</x:f>
      </x:c>
      <x:c r="R168" s="57"/>
      <x:c r="S168" s="57"/>
      <x:c r="T168" s="57"/>
      <x:c r="U168" s="57"/>
      <x:c r="V168" s="57"/>
      <x:c r="W168" s="57"/>
      <x:c r="X168" s="57"/>
      <x:c r="Y168" s="57"/>
      <x:c r="Z168" s="57"/>
      <x:c r="AA168" s="57"/>
      <x:c r="AB168" s="57"/>
      <x:c r="AC168" s="57"/>
      <x:c r="AD168" s="57"/>
    </x:row>
    <x:row r="169">
      <x:c r="A169" s="57"/>
      <x:c r="B169" s="57"/>
      <x:c r="C169" s="57" t="n">
        <x:v>168</x:v>
      </x:c>
      <x:c r="D169" s="57"/>
      <x:c r="E169" s="57"/>
      <x:c r="F169" s="57"/>
      <x:c r="G169" s="57"/>
      <x:c r="H169" s="57"/>
      <x:c r="I169" s="57"/>
      <x:c r="J169" s="57"/>
      <x:c r="K169" s="57" t="str">
        <x:f>IF(OR(I169="",J169=""),"",ABS(I169-J169))</x:f>
      </x:c>
      <x:c r="L169" s="57"/>
      <x:c r="M169" s="57"/>
      <x:c r="N169" s="57" t="str">
        <x:f>IF(OR(L169="",M169=""),"",ABS(L169-M169))</x:f>
      </x:c>
      <x:c r="O169" s="57"/>
      <x:c r="P169" s="57"/>
      <x:c r="Q169" s="57" t="str">
        <x:f>IF(OR(O169="",P169=""),"",ABS(O169-P169))</x:f>
      </x:c>
      <x:c r="R169" s="57"/>
      <x:c r="S169" s="57"/>
      <x:c r="T169" s="57"/>
      <x:c r="U169" s="57"/>
      <x:c r="V169" s="57"/>
      <x:c r="W169" s="57"/>
      <x:c r="X169" s="57"/>
      <x:c r="Y169" s="57"/>
      <x:c r="Z169" s="57"/>
      <x:c r="AA169" s="57"/>
      <x:c r="AB169" s="57"/>
      <x:c r="AC169" s="57"/>
      <x:c r="AD169" s="57"/>
    </x:row>
    <x:row r="170">
      <x:c r="A170" s="57"/>
      <x:c r="B170" s="57"/>
      <x:c r="C170" s="57" t="n">
        <x:v>169</x:v>
      </x:c>
      <x:c r="D170" s="57"/>
      <x:c r="E170" s="57"/>
      <x:c r="F170" s="57"/>
      <x:c r="G170" s="57"/>
      <x:c r="H170" s="57"/>
      <x:c r="I170" s="57"/>
      <x:c r="J170" s="57"/>
      <x:c r="K170" s="57" t="str">
        <x:f>IF(OR(I170="",J170=""),"",ABS(I170-J170))</x:f>
      </x:c>
      <x:c r="L170" s="57"/>
      <x:c r="M170" s="57"/>
      <x:c r="N170" s="57" t="str">
        <x:f>IF(OR(L170="",M170=""),"",ABS(L170-M170))</x:f>
      </x:c>
      <x:c r="O170" s="57"/>
      <x:c r="P170" s="57"/>
      <x:c r="Q170" s="57" t="str">
        <x:f>IF(OR(O170="",P170=""),"",ABS(O170-P170))</x:f>
      </x:c>
      <x:c r="R170" s="57"/>
      <x:c r="S170" s="57"/>
      <x:c r="T170" s="57"/>
      <x:c r="U170" s="57"/>
      <x:c r="V170" s="57"/>
      <x:c r="W170" s="57"/>
      <x:c r="X170" s="57"/>
      <x:c r="Y170" s="57"/>
      <x:c r="Z170" s="57"/>
      <x:c r="AA170" s="57"/>
      <x:c r="AB170" s="57"/>
      <x:c r="AC170" s="57"/>
      <x:c r="AD170" s="57"/>
    </x:row>
    <x:row r="171">
      <x:c r="A171" s="57"/>
      <x:c r="B171" s="57"/>
      <x:c r="C171" s="57" t="n">
        <x:v>170</x:v>
      </x:c>
      <x:c r="D171" s="57"/>
      <x:c r="E171" s="57"/>
      <x:c r="F171" s="57"/>
      <x:c r="G171" s="57"/>
      <x:c r="H171" s="57"/>
      <x:c r="I171" s="57"/>
      <x:c r="J171" s="57"/>
      <x:c r="K171" s="57" t="str">
        <x:f>IF(OR(I171="",J171=""),"",ABS(I171-J171))</x:f>
      </x:c>
      <x:c r="L171" s="57"/>
      <x:c r="M171" s="57"/>
      <x:c r="N171" s="57" t="str">
        <x:f>IF(OR(L171="",M171=""),"",ABS(L171-M171))</x:f>
      </x:c>
      <x:c r="O171" s="57"/>
      <x:c r="P171" s="57"/>
      <x:c r="Q171" s="57" t="str">
        <x:f>IF(OR(O171="",P171=""),"",ABS(O171-P171))</x:f>
      </x:c>
      <x:c r="R171" s="57"/>
      <x:c r="S171" s="57"/>
      <x:c r="T171" s="57"/>
      <x:c r="U171" s="57"/>
      <x:c r="V171" s="57"/>
      <x:c r="W171" s="57"/>
      <x:c r="X171" s="57"/>
      <x:c r="Y171" s="57"/>
      <x:c r="Z171" s="57"/>
      <x:c r="AA171" s="57"/>
      <x:c r="AB171" s="57"/>
      <x:c r="AC171" s="57"/>
      <x:c r="AD171" s="57"/>
    </x:row>
    <x:row r="172">
      <x:c r="A172" s="57"/>
      <x:c r="B172" s="57"/>
      <x:c r="C172" s="57" t="n">
        <x:v>171</x:v>
      </x:c>
      <x:c r="D172" s="57"/>
      <x:c r="E172" s="57"/>
      <x:c r="F172" s="57"/>
      <x:c r="G172" s="57"/>
      <x:c r="H172" s="57"/>
      <x:c r="I172" s="57"/>
      <x:c r="J172" s="57"/>
      <x:c r="K172" s="57" t="str">
        <x:f>IF(OR(I172="",J172=""),"",ABS(I172-J172))</x:f>
      </x:c>
      <x:c r="L172" s="57"/>
      <x:c r="M172" s="57"/>
      <x:c r="N172" s="57" t="str">
        <x:f>IF(OR(L172="",M172=""),"",ABS(L172-M172))</x:f>
      </x:c>
      <x:c r="O172" s="57"/>
      <x:c r="P172" s="57"/>
      <x:c r="Q172" s="57" t="str">
        <x:f>IF(OR(O172="",P172=""),"",ABS(O172-P172))</x:f>
      </x:c>
      <x:c r="R172" s="57"/>
      <x:c r="S172" s="57"/>
      <x:c r="T172" s="57"/>
      <x:c r="U172" s="57"/>
      <x:c r="V172" s="57"/>
      <x:c r="W172" s="57"/>
      <x:c r="X172" s="57"/>
      <x:c r="Y172" s="57"/>
      <x:c r="Z172" s="57"/>
      <x:c r="AA172" s="57"/>
      <x:c r="AB172" s="57"/>
      <x:c r="AC172" s="57"/>
      <x:c r="AD172" s="57"/>
    </x:row>
    <x:row r="173">
      <x:c r="A173" s="57"/>
      <x:c r="B173" s="57"/>
      <x:c r="C173" s="57" t="n">
        <x:v>172</x:v>
      </x:c>
      <x:c r="D173" s="57"/>
      <x:c r="E173" s="57"/>
      <x:c r="F173" s="57"/>
      <x:c r="G173" s="57"/>
      <x:c r="H173" s="57"/>
      <x:c r="I173" s="57"/>
      <x:c r="J173" s="57"/>
      <x:c r="K173" s="57" t="str">
        <x:f>IF(OR(I173="",J173=""),"",ABS(I173-J173))</x:f>
      </x:c>
      <x:c r="L173" s="57"/>
      <x:c r="M173" s="57"/>
      <x:c r="N173" s="57" t="str">
        <x:f>IF(OR(L173="",M173=""),"",ABS(L173-M173))</x:f>
      </x:c>
      <x:c r="O173" s="57"/>
      <x:c r="P173" s="57"/>
      <x:c r="Q173" s="57" t="str">
        <x:f>IF(OR(O173="",P173=""),"",ABS(O173-P173))</x:f>
      </x:c>
      <x:c r="R173" s="57"/>
      <x:c r="S173" s="57"/>
      <x:c r="T173" s="57"/>
      <x:c r="U173" s="57"/>
      <x:c r="V173" s="57"/>
      <x:c r="W173" s="57"/>
      <x:c r="X173" s="57"/>
      <x:c r="Y173" s="57"/>
      <x:c r="Z173" s="57"/>
      <x:c r="AA173" s="57"/>
      <x:c r="AB173" s="57"/>
      <x:c r="AC173" s="57"/>
      <x:c r="AD173" s="57"/>
    </x:row>
    <x:row r="174">
      <x:c r="A174" s="57"/>
      <x:c r="B174" s="57"/>
      <x:c r="C174" s="57" t="n">
        <x:v>173</x:v>
      </x:c>
      <x:c r="D174" s="57"/>
      <x:c r="E174" s="57"/>
      <x:c r="F174" s="57"/>
      <x:c r="G174" s="57"/>
      <x:c r="H174" s="57"/>
      <x:c r="I174" s="57"/>
      <x:c r="J174" s="57"/>
      <x:c r="K174" s="57" t="str">
        <x:f>IF(OR(I174="",J174=""),"",ABS(I174-J174))</x:f>
      </x:c>
      <x:c r="L174" s="57"/>
      <x:c r="M174" s="57"/>
      <x:c r="N174" s="57" t="str">
        <x:f>IF(OR(L174="",M174=""),"",ABS(L174-M174))</x:f>
      </x:c>
      <x:c r="O174" s="57"/>
      <x:c r="P174" s="57"/>
      <x:c r="Q174" s="57" t="str">
        <x:f>IF(OR(O174="",P174=""),"",ABS(O174-P174))</x:f>
      </x:c>
      <x:c r="R174" s="57"/>
      <x:c r="S174" s="57"/>
      <x:c r="T174" s="57"/>
      <x:c r="U174" s="57"/>
      <x:c r="V174" s="57"/>
      <x:c r="W174" s="57"/>
      <x:c r="X174" s="57"/>
      <x:c r="Y174" s="57"/>
      <x:c r="Z174" s="57"/>
      <x:c r="AA174" s="57"/>
      <x:c r="AB174" s="57"/>
      <x:c r="AC174" s="57"/>
      <x:c r="AD174" s="57"/>
    </x:row>
    <x:row r="175">
      <x:c r="A175" s="57"/>
      <x:c r="B175" s="57"/>
      <x:c r="C175" s="57" t="n">
        <x:v>174</x:v>
      </x:c>
      <x:c r="D175" s="57"/>
      <x:c r="E175" s="57"/>
      <x:c r="F175" s="57"/>
      <x:c r="G175" s="57"/>
      <x:c r="H175" s="57"/>
      <x:c r="I175" s="57"/>
      <x:c r="J175" s="57"/>
      <x:c r="K175" s="57" t="str">
        <x:f>IF(OR(I175="",J175=""),"",ABS(I175-J175))</x:f>
      </x:c>
      <x:c r="L175" s="57"/>
      <x:c r="M175" s="57"/>
      <x:c r="N175" s="57" t="str">
        <x:f>IF(OR(L175="",M175=""),"",ABS(L175-M175))</x:f>
      </x:c>
      <x:c r="O175" s="57"/>
      <x:c r="P175" s="57"/>
      <x:c r="Q175" s="57" t="str">
        <x:f>IF(OR(O175="",P175=""),"",ABS(O175-P175))</x:f>
      </x:c>
      <x:c r="R175" s="57"/>
      <x:c r="S175" s="57"/>
      <x:c r="T175" s="57"/>
      <x:c r="U175" s="57"/>
      <x:c r="V175" s="57"/>
      <x:c r="W175" s="57"/>
      <x:c r="X175" s="57"/>
      <x:c r="Y175" s="57"/>
      <x:c r="Z175" s="57"/>
      <x:c r="AA175" s="57"/>
      <x:c r="AB175" s="57"/>
      <x:c r="AC175" s="57"/>
      <x:c r="AD175" s="57"/>
    </x:row>
    <x:row r="176">
      <x:c r="A176" s="57"/>
      <x:c r="B176" s="57"/>
      <x:c r="C176" s="57" t="n">
        <x:v>175</x:v>
      </x:c>
      <x:c r="D176" s="57"/>
      <x:c r="E176" s="57"/>
      <x:c r="F176" s="57"/>
      <x:c r="G176" s="57"/>
      <x:c r="H176" s="57"/>
      <x:c r="I176" s="57"/>
      <x:c r="J176" s="57"/>
      <x:c r="K176" s="57" t="str">
        <x:f>IF(OR(I176="",J176=""),"",ABS(I176-J176))</x:f>
      </x:c>
      <x:c r="L176" s="57"/>
      <x:c r="M176" s="57"/>
      <x:c r="N176" s="57" t="str">
        <x:f>IF(OR(L176="",M176=""),"",ABS(L176-M176))</x:f>
      </x:c>
      <x:c r="O176" s="57"/>
      <x:c r="P176" s="57"/>
      <x:c r="Q176" s="57" t="str">
        <x:f>IF(OR(O176="",P176=""),"",ABS(O176-P176))</x:f>
      </x:c>
      <x:c r="R176" s="57"/>
      <x:c r="S176" s="57"/>
      <x:c r="T176" s="57"/>
      <x:c r="U176" s="57"/>
      <x:c r="V176" s="57"/>
      <x:c r="W176" s="57"/>
      <x:c r="X176" s="57"/>
      <x:c r="Y176" s="57"/>
      <x:c r="Z176" s="57"/>
      <x:c r="AA176" s="57"/>
      <x:c r="AB176" s="57"/>
      <x:c r="AC176" s="57"/>
      <x:c r="AD176" s="57"/>
    </x:row>
    <x:row r="177">
      <x:c r="A177" s="57"/>
      <x:c r="B177" s="57"/>
      <x:c r="C177" s="57" t="n">
        <x:v>176</x:v>
      </x:c>
      <x:c r="D177" s="57"/>
      <x:c r="E177" s="57"/>
      <x:c r="F177" s="57"/>
      <x:c r="G177" s="57"/>
      <x:c r="H177" s="57"/>
      <x:c r="I177" s="57"/>
      <x:c r="J177" s="57"/>
      <x:c r="K177" s="57" t="str">
        <x:f>IF(OR(I177="",J177=""),"",ABS(I177-J177))</x:f>
      </x:c>
      <x:c r="L177" s="57"/>
      <x:c r="M177" s="57"/>
      <x:c r="N177" s="57" t="str">
        <x:f>IF(OR(L177="",M177=""),"",ABS(L177-M177))</x:f>
      </x:c>
      <x:c r="O177" s="57"/>
      <x:c r="P177" s="57"/>
      <x:c r="Q177" s="57" t="str">
        <x:f>IF(OR(O177="",P177=""),"",ABS(O177-P177))</x:f>
      </x:c>
      <x:c r="R177" s="57"/>
      <x:c r="S177" s="57"/>
      <x:c r="T177" s="57"/>
      <x:c r="U177" s="57"/>
      <x:c r="V177" s="57"/>
      <x:c r="W177" s="57"/>
      <x:c r="X177" s="57"/>
      <x:c r="Y177" s="57"/>
      <x:c r="Z177" s="57"/>
      <x:c r="AA177" s="57"/>
      <x:c r="AB177" s="57"/>
      <x:c r="AC177" s="57"/>
      <x:c r="AD177" s="57"/>
    </x:row>
    <x:row r="178">
      <x:c r="A178" s="57"/>
      <x:c r="B178" s="57"/>
      <x:c r="C178" s="57" t="n">
        <x:v>177</x:v>
      </x:c>
      <x:c r="D178" s="57"/>
      <x:c r="E178" s="57"/>
      <x:c r="F178" s="57"/>
      <x:c r="G178" s="57"/>
      <x:c r="H178" s="57"/>
      <x:c r="I178" s="57"/>
      <x:c r="J178" s="57"/>
      <x:c r="K178" s="57" t="str">
        <x:f>IF(OR(I178="",J178=""),"",ABS(I178-J178))</x:f>
      </x:c>
      <x:c r="L178" s="57"/>
      <x:c r="M178" s="57"/>
      <x:c r="N178" s="57" t="str">
        <x:f>IF(OR(L178="",M178=""),"",ABS(L178-M178))</x:f>
      </x:c>
      <x:c r="O178" s="57"/>
      <x:c r="P178" s="57"/>
      <x:c r="Q178" s="57" t="str">
        <x:f>IF(OR(O178="",P178=""),"",ABS(O178-P178))</x:f>
      </x:c>
      <x:c r="R178" s="57"/>
      <x:c r="S178" s="57"/>
      <x:c r="T178" s="57"/>
      <x:c r="U178" s="57"/>
      <x:c r="V178" s="57"/>
      <x:c r="W178" s="57"/>
      <x:c r="X178" s="57"/>
      <x:c r="Y178" s="57"/>
      <x:c r="Z178" s="57"/>
      <x:c r="AA178" s="57"/>
      <x:c r="AB178" s="57"/>
      <x:c r="AC178" s="57"/>
      <x:c r="AD178" s="57"/>
    </x:row>
    <x:row r="179">
      <x:c r="A179" s="57"/>
      <x:c r="B179" s="57"/>
      <x:c r="C179" s="57" t="n">
        <x:v>178</x:v>
      </x:c>
      <x:c r="D179" s="57"/>
      <x:c r="E179" s="57"/>
      <x:c r="F179" s="57"/>
      <x:c r="G179" s="57"/>
      <x:c r="H179" s="57"/>
      <x:c r="I179" s="57"/>
      <x:c r="J179" s="57"/>
      <x:c r="K179" s="57" t="str">
        <x:f>IF(OR(I179="",J179=""),"",ABS(I179-J179))</x:f>
      </x:c>
      <x:c r="L179" s="57"/>
      <x:c r="M179" s="57"/>
      <x:c r="N179" s="57" t="str">
        <x:f>IF(OR(L179="",M179=""),"",ABS(L179-M179))</x:f>
      </x:c>
      <x:c r="O179" s="57"/>
      <x:c r="P179" s="57"/>
      <x:c r="Q179" s="57" t="str">
        <x:f>IF(OR(O179="",P179=""),"",ABS(O179-P179))</x:f>
      </x:c>
      <x:c r="R179" s="57"/>
      <x:c r="S179" s="57"/>
      <x:c r="T179" s="57"/>
      <x:c r="U179" s="57"/>
      <x:c r="V179" s="57"/>
      <x:c r="W179" s="57"/>
      <x:c r="X179" s="57"/>
      <x:c r="Y179" s="57"/>
      <x:c r="Z179" s="57"/>
      <x:c r="AA179" s="57"/>
      <x:c r="AB179" s="57"/>
      <x:c r="AC179" s="57"/>
      <x:c r="AD179" s="57"/>
    </x:row>
    <x:row r="180">
      <x:c r="A180" s="57"/>
      <x:c r="B180" s="57"/>
      <x:c r="C180" s="57" t="n">
        <x:v>179</x:v>
      </x:c>
      <x:c r="D180" s="57"/>
      <x:c r="E180" s="57"/>
      <x:c r="F180" s="57"/>
      <x:c r="G180" s="57"/>
      <x:c r="H180" s="57"/>
      <x:c r="I180" s="57"/>
      <x:c r="J180" s="57"/>
      <x:c r="K180" s="57" t="str">
        <x:f>IF(OR(I180="",J180=""),"",ABS(I180-J180))</x:f>
      </x:c>
      <x:c r="L180" s="57"/>
      <x:c r="M180" s="57"/>
      <x:c r="N180" s="57" t="str">
        <x:f>IF(OR(L180="",M180=""),"",ABS(L180-M180))</x:f>
      </x:c>
      <x:c r="O180" s="57"/>
      <x:c r="P180" s="57"/>
      <x:c r="Q180" s="57" t="str">
        <x:f>IF(OR(O180="",P180=""),"",ABS(O180-P180))</x:f>
      </x:c>
      <x:c r="R180" s="57"/>
      <x:c r="S180" s="57"/>
      <x:c r="T180" s="57"/>
      <x:c r="U180" s="57"/>
      <x:c r="V180" s="57"/>
      <x:c r="W180" s="57"/>
      <x:c r="X180" s="57"/>
      <x:c r="Y180" s="57"/>
      <x:c r="Z180" s="57"/>
      <x:c r="AA180" s="57"/>
      <x:c r="AB180" s="57"/>
      <x:c r="AC180" s="57"/>
      <x:c r="AD180" s="57"/>
    </x:row>
    <x:row r="181">
      <x:c r="A181" s="57"/>
      <x:c r="B181" s="57"/>
      <x:c r="C181" s="57" t="n">
        <x:v>180</x:v>
      </x:c>
      <x:c r="D181" s="57"/>
      <x:c r="E181" s="57"/>
      <x:c r="F181" s="57"/>
      <x:c r="G181" s="57"/>
      <x:c r="H181" s="57"/>
      <x:c r="I181" s="57"/>
      <x:c r="J181" s="57"/>
      <x:c r="K181" s="57" t="str">
        <x:f>IF(OR(I181="",J181=""),"",ABS(I181-J181))</x:f>
      </x:c>
      <x:c r="L181" s="57"/>
      <x:c r="M181" s="57"/>
      <x:c r="N181" s="57" t="str">
        <x:f>IF(OR(L181="",M181=""),"",ABS(L181-M181))</x:f>
      </x:c>
      <x:c r="O181" s="57"/>
      <x:c r="P181" s="57"/>
      <x:c r="Q181" s="57" t="str">
        <x:f>IF(OR(O181="",P181=""),"",ABS(O181-P181))</x:f>
      </x:c>
      <x:c r="R181" s="57"/>
      <x:c r="S181" s="57"/>
      <x:c r="T181" s="57"/>
      <x:c r="U181" s="57"/>
      <x:c r="V181" s="57"/>
      <x:c r="W181" s="57"/>
      <x:c r="X181" s="57"/>
      <x:c r="Y181" s="57"/>
      <x:c r="Z181" s="57"/>
      <x:c r="AA181" s="57"/>
      <x:c r="AB181" s="57"/>
      <x:c r="AC181" s="57"/>
      <x:c r="AD181" s="57"/>
    </x:row>
    <x:row r="182">
      <x:c r="A182" s="57"/>
      <x:c r="B182" s="57"/>
      <x:c r="C182" s="57" t="n">
        <x:v>181</x:v>
      </x:c>
      <x:c r="D182" s="57"/>
      <x:c r="E182" s="57"/>
      <x:c r="F182" s="57"/>
      <x:c r="G182" s="57"/>
      <x:c r="H182" s="57"/>
      <x:c r="I182" s="57"/>
      <x:c r="J182" s="57"/>
      <x:c r="K182" s="57" t="str">
        <x:f>IF(OR(I182="",J182=""),"",ABS(I182-J182))</x:f>
      </x:c>
      <x:c r="L182" s="57"/>
      <x:c r="M182" s="57"/>
      <x:c r="N182" s="57" t="str">
        <x:f>IF(OR(L182="",M182=""),"",ABS(L182-M182))</x:f>
      </x:c>
      <x:c r="O182" s="57"/>
      <x:c r="P182" s="57"/>
      <x:c r="Q182" s="57" t="str">
        <x:f>IF(OR(O182="",P182=""),"",ABS(O182-P182))</x:f>
      </x:c>
      <x:c r="R182" s="57"/>
      <x:c r="S182" s="57"/>
      <x:c r="T182" s="57"/>
      <x:c r="U182" s="57"/>
      <x:c r="V182" s="57"/>
      <x:c r="W182" s="57"/>
      <x:c r="X182" s="57"/>
      <x:c r="Y182" s="57"/>
      <x:c r="Z182" s="57"/>
      <x:c r="AA182" s="57"/>
      <x:c r="AB182" s="57"/>
      <x:c r="AC182" s="57"/>
      <x:c r="AD182" s="57"/>
    </x:row>
    <x:row r="183">
      <x:c r="A183" s="57"/>
      <x:c r="B183" s="57"/>
      <x:c r="C183" s="57" t="n">
        <x:v>182</x:v>
      </x:c>
      <x:c r="D183" s="57"/>
      <x:c r="E183" s="57"/>
      <x:c r="F183" s="57"/>
      <x:c r="G183" s="57"/>
      <x:c r="H183" s="57"/>
      <x:c r="I183" s="57"/>
      <x:c r="J183" s="57"/>
      <x:c r="K183" s="57" t="str">
        <x:f>IF(OR(I183="",J183=""),"",ABS(I183-J183))</x:f>
      </x:c>
      <x:c r="L183" s="57"/>
      <x:c r="M183" s="57"/>
      <x:c r="N183" s="57" t="str">
        <x:f>IF(OR(L183="",M183=""),"",ABS(L183-M183))</x:f>
      </x:c>
      <x:c r="O183" s="57"/>
      <x:c r="P183" s="57"/>
      <x:c r="Q183" s="57" t="str">
        <x:f>IF(OR(O183="",P183=""),"",ABS(O183-P183))</x:f>
      </x:c>
      <x:c r="R183" s="57"/>
      <x:c r="S183" s="57"/>
      <x:c r="T183" s="57"/>
      <x:c r="U183" s="57"/>
      <x:c r="V183" s="57"/>
      <x:c r="W183" s="57"/>
      <x:c r="X183" s="57"/>
      <x:c r="Y183" s="57"/>
      <x:c r="Z183" s="57"/>
      <x:c r="AA183" s="57"/>
      <x:c r="AB183" s="57"/>
      <x:c r="AC183" s="57"/>
      <x:c r="AD183" s="57"/>
    </x:row>
    <x:row r="184">
      <x:c r="A184" s="57"/>
      <x:c r="B184" s="57"/>
      <x:c r="C184" s="57" t="n">
        <x:v>183</x:v>
      </x:c>
      <x:c r="D184" s="57"/>
      <x:c r="E184" s="57"/>
      <x:c r="F184" s="57"/>
      <x:c r="G184" s="57"/>
      <x:c r="H184" s="57"/>
      <x:c r="I184" s="57"/>
      <x:c r="J184" s="57"/>
      <x:c r="K184" s="57" t="str">
        <x:f>IF(OR(I184="",J184=""),"",ABS(I184-J184))</x:f>
      </x:c>
      <x:c r="L184" s="57"/>
      <x:c r="M184" s="57"/>
      <x:c r="N184" s="57" t="str">
        <x:f>IF(OR(L184="",M184=""),"",ABS(L184-M184))</x:f>
      </x:c>
      <x:c r="O184" s="57"/>
      <x:c r="P184" s="57"/>
      <x:c r="Q184" s="57" t="str">
        <x:f>IF(OR(O184="",P184=""),"",ABS(O184-P184))</x:f>
      </x:c>
      <x:c r="R184" s="57"/>
      <x:c r="S184" s="57"/>
      <x:c r="T184" s="57"/>
      <x:c r="U184" s="57"/>
      <x:c r="V184" s="57"/>
      <x:c r="W184" s="57"/>
      <x:c r="X184" s="57"/>
      <x:c r="Y184" s="57"/>
      <x:c r="Z184" s="57"/>
      <x:c r="AA184" s="57"/>
      <x:c r="AB184" s="57"/>
      <x:c r="AC184" s="57"/>
      <x:c r="AD184" s="57"/>
    </x:row>
    <x:row r="185">
      <x:c r="A185" s="57"/>
      <x:c r="B185" s="57"/>
      <x:c r="C185" s="57" t="n">
        <x:v>184</x:v>
      </x:c>
      <x:c r="D185" s="57"/>
      <x:c r="E185" s="57"/>
      <x:c r="F185" s="57"/>
      <x:c r="G185" s="57"/>
      <x:c r="H185" s="57"/>
      <x:c r="I185" s="57"/>
      <x:c r="J185" s="57"/>
      <x:c r="K185" s="57" t="str">
        <x:f>IF(OR(I185="",J185=""),"",ABS(I185-J185))</x:f>
      </x:c>
      <x:c r="L185" s="57"/>
      <x:c r="M185" s="57"/>
      <x:c r="N185" s="57" t="str">
        <x:f>IF(OR(L185="",M185=""),"",ABS(L185-M185))</x:f>
      </x:c>
      <x:c r="O185" s="57"/>
      <x:c r="P185" s="57"/>
      <x:c r="Q185" s="57" t="str">
        <x:f>IF(OR(O185="",P185=""),"",ABS(O185-P185))</x:f>
      </x:c>
      <x:c r="R185" s="57"/>
      <x:c r="S185" s="57"/>
      <x:c r="T185" s="57"/>
      <x:c r="U185" s="57"/>
      <x:c r="V185" s="57"/>
      <x:c r="W185" s="57"/>
      <x:c r="X185" s="57"/>
      <x:c r="Y185" s="57"/>
      <x:c r="Z185" s="57"/>
      <x:c r="AA185" s="57"/>
      <x:c r="AB185" s="57"/>
      <x:c r="AC185" s="57"/>
      <x:c r="AD185" s="57"/>
    </x:row>
    <x:row r="186">
      <x:c r="A186" s="57"/>
      <x:c r="B186" s="57"/>
      <x:c r="C186" s="57" t="n">
        <x:v>185</x:v>
      </x:c>
      <x:c r="D186" s="57"/>
      <x:c r="E186" s="57"/>
      <x:c r="F186" s="57"/>
      <x:c r="G186" s="57"/>
      <x:c r="H186" s="57"/>
      <x:c r="I186" s="57"/>
      <x:c r="J186" s="57"/>
      <x:c r="K186" s="57" t="str">
        <x:f>IF(OR(I186="",J186=""),"",ABS(I186-J186))</x:f>
      </x:c>
      <x:c r="L186" s="57"/>
      <x:c r="M186" s="57"/>
      <x:c r="N186" s="57" t="str">
        <x:f>IF(OR(L186="",M186=""),"",ABS(L186-M186))</x:f>
      </x:c>
      <x:c r="O186" s="57"/>
      <x:c r="P186" s="57"/>
      <x:c r="Q186" s="57" t="str">
        <x:f>IF(OR(O186="",P186=""),"",ABS(O186-P186))</x:f>
      </x:c>
      <x:c r="R186" s="57"/>
      <x:c r="S186" s="57"/>
      <x:c r="T186" s="57"/>
      <x:c r="U186" s="57"/>
      <x:c r="V186" s="57"/>
      <x:c r="W186" s="57"/>
      <x:c r="X186" s="57"/>
      <x:c r="Y186" s="57"/>
      <x:c r="Z186" s="57"/>
      <x:c r="AA186" s="57"/>
      <x:c r="AB186" s="57"/>
      <x:c r="AC186" s="57"/>
      <x:c r="AD186" s="57"/>
    </x:row>
    <x:row r="187">
      <x:c r="A187" s="57"/>
      <x:c r="B187" s="57"/>
      <x:c r="C187" s="57" t="n">
        <x:v>186</x:v>
      </x:c>
      <x:c r="D187" s="57"/>
      <x:c r="E187" s="57"/>
      <x:c r="F187" s="57"/>
      <x:c r="G187" s="57"/>
      <x:c r="H187" s="57"/>
      <x:c r="I187" s="57"/>
      <x:c r="J187" s="57"/>
      <x:c r="K187" s="57" t="str">
        <x:f>IF(OR(I187="",J187=""),"",ABS(I187-J187))</x:f>
      </x:c>
      <x:c r="L187" s="57"/>
      <x:c r="M187" s="57"/>
      <x:c r="N187" s="57" t="str">
        <x:f>IF(OR(L187="",M187=""),"",ABS(L187-M187))</x:f>
      </x:c>
      <x:c r="O187" s="57"/>
      <x:c r="P187" s="57"/>
      <x:c r="Q187" s="57" t="str">
        <x:f>IF(OR(O187="",P187=""),"",ABS(O187-P187))</x:f>
      </x:c>
      <x:c r="R187" s="57"/>
      <x:c r="S187" s="57"/>
      <x:c r="T187" s="57"/>
      <x:c r="U187" s="57"/>
      <x:c r="V187" s="57"/>
      <x:c r="W187" s="57"/>
      <x:c r="X187" s="57"/>
      <x:c r="Y187" s="57"/>
      <x:c r="Z187" s="57"/>
      <x:c r="AA187" s="57"/>
      <x:c r="AB187" s="57"/>
      <x:c r="AC187" s="57"/>
      <x:c r="AD187" s="57"/>
    </x:row>
    <x:row r="188">
      <x:c r="A188" s="57"/>
      <x:c r="B188" s="57"/>
      <x:c r="C188" s="57" t="n">
        <x:v>187</x:v>
      </x:c>
      <x:c r="D188" s="57"/>
      <x:c r="E188" s="57"/>
      <x:c r="F188" s="57"/>
      <x:c r="G188" s="57"/>
      <x:c r="H188" s="57"/>
      <x:c r="I188" s="57"/>
      <x:c r="J188" s="57"/>
      <x:c r="K188" s="57" t="str">
        <x:f>IF(OR(I188="",J188=""),"",ABS(I188-J188))</x:f>
      </x:c>
      <x:c r="L188" s="57"/>
      <x:c r="M188" s="57"/>
      <x:c r="N188" s="57" t="str">
        <x:f>IF(OR(L188="",M188=""),"",ABS(L188-M188))</x:f>
      </x:c>
      <x:c r="O188" s="57"/>
      <x:c r="P188" s="57"/>
      <x:c r="Q188" s="57" t="str">
        <x:f>IF(OR(O188="",P188=""),"",ABS(O188-P188))</x:f>
      </x:c>
      <x:c r="R188" s="57"/>
      <x:c r="S188" s="57"/>
      <x:c r="T188" s="57"/>
      <x:c r="U188" s="57"/>
      <x:c r="V188" s="57"/>
      <x:c r="W188" s="57"/>
      <x:c r="X188" s="57"/>
      <x:c r="Y188" s="57"/>
      <x:c r="Z188" s="57"/>
      <x:c r="AA188" s="57"/>
      <x:c r="AB188" s="57"/>
      <x:c r="AC188" s="57"/>
      <x:c r="AD188" s="57"/>
    </x:row>
    <x:row r="189">
      <x:c r="A189" s="57"/>
      <x:c r="B189" s="57"/>
      <x:c r="C189" s="57" t="n">
        <x:v>188</x:v>
      </x:c>
      <x:c r="D189" s="57"/>
      <x:c r="E189" s="57"/>
      <x:c r="F189" s="57"/>
      <x:c r="G189" s="57"/>
      <x:c r="H189" s="57"/>
      <x:c r="I189" s="57"/>
      <x:c r="J189" s="57"/>
      <x:c r="K189" s="57" t="str">
        <x:f>IF(OR(I189="",J189=""),"",ABS(I189-J189))</x:f>
      </x:c>
      <x:c r="L189" s="57"/>
      <x:c r="M189" s="57"/>
      <x:c r="N189" s="57" t="str">
        <x:f>IF(OR(L189="",M189=""),"",ABS(L189-M189))</x:f>
      </x:c>
      <x:c r="O189" s="57"/>
      <x:c r="P189" s="57"/>
      <x:c r="Q189" s="57" t="str">
        <x:f>IF(OR(O189="",P189=""),"",ABS(O189-P189))</x:f>
      </x:c>
      <x:c r="R189" s="57"/>
      <x:c r="S189" s="57"/>
      <x:c r="T189" s="57"/>
      <x:c r="U189" s="57"/>
      <x:c r="V189" s="57"/>
      <x:c r="W189" s="57"/>
      <x:c r="X189" s="57"/>
      <x:c r="Y189" s="57"/>
      <x:c r="Z189" s="57"/>
      <x:c r="AA189" s="57"/>
      <x:c r="AB189" s="57"/>
      <x:c r="AC189" s="57"/>
      <x:c r="AD189" s="57"/>
    </x:row>
    <x:row r="190">
      <x:c r="A190" s="57"/>
      <x:c r="B190" s="57"/>
      <x:c r="C190" s="57" t="n">
        <x:v>189</x:v>
      </x:c>
      <x:c r="D190" s="57"/>
      <x:c r="E190" s="57"/>
      <x:c r="F190" s="57"/>
      <x:c r="G190" s="57"/>
      <x:c r="H190" s="57"/>
      <x:c r="I190" s="57"/>
      <x:c r="J190" s="57"/>
      <x:c r="K190" s="57" t="str">
        <x:f>IF(OR(I190="",J190=""),"",ABS(I190-J190))</x:f>
      </x:c>
      <x:c r="L190" s="57"/>
      <x:c r="M190" s="57"/>
      <x:c r="N190" s="57" t="str">
        <x:f>IF(OR(L190="",M190=""),"",ABS(L190-M190))</x:f>
      </x:c>
      <x:c r="O190" s="57"/>
      <x:c r="P190" s="57"/>
      <x:c r="Q190" s="57" t="str">
        <x:f>IF(OR(O190="",P190=""),"",ABS(O190-P190))</x:f>
      </x:c>
      <x:c r="R190" s="57"/>
      <x:c r="S190" s="57"/>
      <x:c r="T190" s="57"/>
      <x:c r="U190" s="57"/>
      <x:c r="V190" s="57"/>
      <x:c r="W190" s="57"/>
      <x:c r="X190" s="57"/>
      <x:c r="Y190" s="57"/>
      <x:c r="Z190" s="57"/>
      <x:c r="AA190" s="57"/>
      <x:c r="AB190" s="57"/>
      <x:c r="AC190" s="57"/>
      <x:c r="AD190" s="57"/>
    </x:row>
    <x:row r="191">
      <x:c r="A191" s="57"/>
      <x:c r="B191" s="57"/>
      <x:c r="C191" s="57" t="n">
        <x:v>190</x:v>
      </x:c>
      <x:c r="D191" s="57"/>
      <x:c r="E191" s="57"/>
      <x:c r="F191" s="57"/>
      <x:c r="G191" s="57"/>
      <x:c r="H191" s="57"/>
      <x:c r="I191" s="57"/>
      <x:c r="J191" s="57"/>
      <x:c r="K191" s="57" t="str">
        <x:f>IF(OR(I191="",J191=""),"",ABS(I191-J191))</x:f>
      </x:c>
      <x:c r="L191" s="57"/>
      <x:c r="M191" s="57"/>
      <x:c r="N191" s="57" t="str">
        <x:f>IF(OR(L191="",M191=""),"",ABS(L191-M191))</x:f>
      </x:c>
      <x:c r="O191" s="57"/>
      <x:c r="P191" s="57"/>
      <x:c r="Q191" s="57" t="str">
        <x:f>IF(OR(O191="",P191=""),"",ABS(O191-P191))</x:f>
      </x:c>
      <x:c r="R191" s="57"/>
      <x:c r="S191" s="57"/>
      <x:c r="T191" s="57"/>
      <x:c r="U191" s="57"/>
      <x:c r="V191" s="57"/>
      <x:c r="W191" s="57"/>
      <x:c r="X191" s="57"/>
      <x:c r="Y191" s="57"/>
      <x:c r="Z191" s="57"/>
      <x:c r="AA191" s="57"/>
      <x:c r="AB191" s="57"/>
      <x:c r="AC191" s="57"/>
      <x:c r="AD191" s="57"/>
    </x:row>
    <x:row r="192">
      <x:c r="A192" s="57"/>
      <x:c r="B192" s="57"/>
      <x:c r="C192" s="57" t="n">
        <x:v>191</x:v>
      </x:c>
      <x:c r="D192" s="57"/>
      <x:c r="E192" s="57"/>
      <x:c r="F192" s="57"/>
      <x:c r="G192" s="57"/>
      <x:c r="H192" s="57"/>
      <x:c r="I192" s="57"/>
      <x:c r="J192" s="57"/>
      <x:c r="K192" s="57" t="str">
        <x:f>IF(OR(I192="",J192=""),"",ABS(I192-J192))</x:f>
      </x:c>
      <x:c r="L192" s="57"/>
      <x:c r="M192" s="57"/>
      <x:c r="N192" s="57" t="str">
        <x:f>IF(OR(L192="",M192=""),"",ABS(L192-M192))</x:f>
      </x:c>
      <x:c r="O192" s="57"/>
      <x:c r="P192" s="57"/>
      <x:c r="Q192" s="57" t="str">
        <x:f>IF(OR(O192="",P192=""),"",ABS(O192-P192))</x:f>
      </x:c>
      <x:c r="R192" s="57"/>
      <x:c r="S192" s="57"/>
      <x:c r="T192" s="57"/>
      <x:c r="U192" s="57"/>
      <x:c r="V192" s="57"/>
      <x:c r="W192" s="57"/>
      <x:c r="X192" s="57"/>
      <x:c r="Y192" s="57"/>
      <x:c r="Z192" s="57"/>
      <x:c r="AA192" s="57"/>
      <x:c r="AB192" s="57"/>
      <x:c r="AC192" s="57"/>
      <x:c r="AD192" s="57"/>
    </x:row>
    <x:row r="193">
      <x:c r="A193" s="57"/>
      <x:c r="B193" s="57"/>
      <x:c r="C193" s="57" t="n">
        <x:v>192</x:v>
      </x:c>
      <x:c r="D193" s="57"/>
      <x:c r="E193" s="57"/>
      <x:c r="F193" s="57"/>
      <x:c r="G193" s="57"/>
      <x:c r="H193" s="57"/>
      <x:c r="I193" s="57"/>
      <x:c r="J193" s="57"/>
      <x:c r="K193" s="57" t="str">
        <x:f>IF(OR(I193="",J193=""),"",ABS(I193-J193))</x:f>
      </x:c>
      <x:c r="L193" s="57"/>
      <x:c r="M193" s="57"/>
      <x:c r="N193" s="57" t="str">
        <x:f>IF(OR(L193="",M193=""),"",ABS(L193-M193))</x:f>
      </x:c>
      <x:c r="O193" s="57"/>
      <x:c r="P193" s="57"/>
      <x:c r="Q193" s="57" t="str">
        <x:f>IF(OR(O193="",P193=""),"",ABS(O193-P193))</x:f>
      </x:c>
      <x:c r="R193" s="57"/>
      <x:c r="S193" s="57"/>
      <x:c r="T193" s="57"/>
      <x:c r="U193" s="57"/>
      <x:c r="V193" s="57"/>
      <x:c r="W193" s="57"/>
      <x:c r="X193" s="57"/>
      <x:c r="Y193" s="57"/>
      <x:c r="Z193" s="57"/>
      <x:c r="AA193" s="57"/>
      <x:c r="AB193" s="57"/>
      <x:c r="AC193" s="57"/>
      <x:c r="AD193" s="57"/>
    </x:row>
    <x:row r="194">
      <x:c r="A194" s="57"/>
      <x:c r="B194" s="57"/>
      <x:c r="C194" s="57" t="n">
        <x:v>193</x:v>
      </x:c>
      <x:c r="D194" s="57"/>
      <x:c r="E194" s="57"/>
      <x:c r="F194" s="57"/>
      <x:c r="G194" s="57"/>
      <x:c r="H194" s="57"/>
      <x:c r="I194" s="57"/>
      <x:c r="J194" s="57"/>
      <x:c r="K194" s="57" t="str">
        <x:f>IF(OR(I194="",J194=""),"",ABS(I194-J194))</x:f>
      </x:c>
      <x:c r="L194" s="57"/>
      <x:c r="M194" s="57"/>
      <x:c r="N194" s="57" t="str">
        <x:f>IF(OR(L194="",M194=""),"",ABS(L194-M194))</x:f>
      </x:c>
      <x:c r="O194" s="57"/>
      <x:c r="P194" s="57"/>
      <x:c r="Q194" s="57" t="str">
        <x:f>IF(OR(O194="",P194=""),"",ABS(O194-P194))</x:f>
      </x:c>
      <x:c r="R194" s="57"/>
      <x:c r="S194" s="57"/>
      <x:c r="T194" s="57"/>
      <x:c r="U194" s="57"/>
      <x:c r="V194" s="57"/>
      <x:c r="W194" s="57"/>
      <x:c r="X194" s="57"/>
      <x:c r="Y194" s="57"/>
      <x:c r="Z194" s="57"/>
      <x:c r="AA194" s="57"/>
      <x:c r="AB194" s="57"/>
      <x:c r="AC194" s="57"/>
      <x:c r="AD194" s="57"/>
    </x:row>
    <x:row r="195">
      <x:c r="A195" s="57"/>
      <x:c r="B195" s="57"/>
      <x:c r="C195" s="57" t="n">
        <x:v>194</x:v>
      </x:c>
      <x:c r="D195" s="57"/>
      <x:c r="E195" s="57"/>
      <x:c r="F195" s="57"/>
      <x:c r="G195" s="57"/>
      <x:c r="H195" s="57"/>
      <x:c r="I195" s="57"/>
      <x:c r="J195" s="57"/>
      <x:c r="K195" s="57" t="str">
        <x:f>IF(OR(I195="",J195=""),"",ABS(I195-J195))</x:f>
      </x:c>
      <x:c r="L195" s="57"/>
      <x:c r="M195" s="57"/>
      <x:c r="N195" s="57" t="str">
        <x:f>IF(OR(L195="",M195=""),"",ABS(L195-M195))</x:f>
      </x:c>
      <x:c r="O195" s="57"/>
      <x:c r="P195" s="57"/>
      <x:c r="Q195" s="57" t="str">
        <x:f>IF(OR(O195="",P195=""),"",ABS(O195-P195))</x:f>
      </x:c>
      <x:c r="R195" s="57"/>
      <x:c r="S195" s="57"/>
      <x:c r="T195" s="57"/>
      <x:c r="U195" s="57"/>
      <x:c r="V195" s="57"/>
      <x:c r="W195" s="57"/>
      <x:c r="X195" s="57"/>
      <x:c r="Y195" s="57"/>
      <x:c r="Z195" s="57"/>
      <x:c r="AA195" s="57"/>
      <x:c r="AB195" s="57"/>
      <x:c r="AC195" s="57"/>
      <x:c r="AD195" s="57"/>
    </x:row>
    <x:row r="196">
      <x:c r="A196" s="57"/>
      <x:c r="B196" s="57"/>
      <x:c r="C196" s="57" t="n">
        <x:v>195</x:v>
      </x:c>
      <x:c r="D196" s="57"/>
      <x:c r="E196" s="57"/>
      <x:c r="F196" s="57"/>
      <x:c r="G196" s="57"/>
      <x:c r="H196" s="57"/>
      <x:c r="I196" s="57"/>
      <x:c r="J196" s="57"/>
      <x:c r="K196" s="57" t="str">
        <x:f>IF(OR(I196="",J196=""),"",ABS(I196-J196))</x:f>
      </x:c>
      <x:c r="L196" s="57"/>
      <x:c r="M196" s="57"/>
      <x:c r="N196" s="57" t="str">
        <x:f>IF(OR(L196="",M196=""),"",ABS(L196-M196))</x:f>
      </x:c>
      <x:c r="O196" s="57"/>
      <x:c r="P196" s="57"/>
      <x:c r="Q196" s="57" t="str">
        <x:f>IF(OR(O196="",P196=""),"",ABS(O196-P196))</x:f>
      </x:c>
      <x:c r="R196" s="57"/>
      <x:c r="S196" s="57"/>
      <x:c r="T196" s="57"/>
      <x:c r="U196" s="57"/>
      <x:c r="V196" s="57"/>
      <x:c r="W196" s="57"/>
      <x:c r="X196" s="57"/>
      <x:c r="Y196" s="57"/>
      <x:c r="Z196" s="57"/>
      <x:c r="AA196" s="57"/>
      <x:c r="AB196" s="57"/>
      <x:c r="AC196" s="57"/>
      <x:c r="AD196" s="57"/>
    </x:row>
    <x:row r="197">
      <x:c r="A197" s="57"/>
      <x:c r="B197" s="57"/>
      <x:c r="C197" s="57" t="n">
        <x:v>196</x:v>
      </x:c>
      <x:c r="D197" s="57"/>
      <x:c r="E197" s="57"/>
      <x:c r="F197" s="57"/>
      <x:c r="G197" s="57"/>
      <x:c r="H197" s="57"/>
      <x:c r="I197" s="57"/>
      <x:c r="J197" s="57"/>
      <x:c r="K197" s="57" t="str">
        <x:f>IF(OR(I197="",J197=""),"",ABS(I197-J197))</x:f>
      </x:c>
      <x:c r="L197" s="57"/>
      <x:c r="M197" s="57"/>
      <x:c r="N197" s="57" t="str">
        <x:f>IF(OR(L197="",M197=""),"",ABS(L197-M197))</x:f>
      </x:c>
      <x:c r="O197" s="57"/>
      <x:c r="P197" s="57"/>
      <x:c r="Q197" s="57" t="str">
        <x:f>IF(OR(O197="",P197=""),"",ABS(O197-P197))</x:f>
      </x:c>
      <x:c r="R197" s="57"/>
      <x:c r="S197" s="57"/>
      <x:c r="T197" s="57"/>
      <x:c r="U197" s="57"/>
      <x:c r="V197" s="57"/>
      <x:c r="W197" s="57"/>
      <x:c r="X197" s="57"/>
      <x:c r="Y197" s="57"/>
      <x:c r="Z197" s="57"/>
      <x:c r="AA197" s="57"/>
      <x:c r="AB197" s="57"/>
      <x:c r="AC197" s="57"/>
      <x:c r="AD197" s="57"/>
    </x:row>
    <x:row r="198">
      <x:c r="A198" s="57"/>
      <x:c r="B198" s="57"/>
      <x:c r="C198" s="57" t="n">
        <x:v>197</x:v>
      </x:c>
      <x:c r="D198" s="57"/>
      <x:c r="E198" s="57"/>
      <x:c r="F198" s="57"/>
      <x:c r="G198" s="57"/>
      <x:c r="H198" s="57"/>
      <x:c r="I198" s="57"/>
      <x:c r="J198" s="57"/>
      <x:c r="K198" s="57" t="str">
        <x:f>IF(OR(I198="",J198=""),"",ABS(I198-J198))</x:f>
      </x:c>
      <x:c r="L198" s="57"/>
      <x:c r="M198" s="57"/>
      <x:c r="N198" s="57" t="str">
        <x:f>IF(OR(L198="",M198=""),"",ABS(L198-M198))</x:f>
      </x:c>
      <x:c r="O198" s="57"/>
      <x:c r="P198" s="57"/>
      <x:c r="Q198" s="57" t="str">
        <x:f>IF(OR(O198="",P198=""),"",ABS(O198-P198))</x:f>
      </x:c>
      <x:c r="R198" s="57"/>
      <x:c r="S198" s="57"/>
      <x:c r="T198" s="57"/>
      <x:c r="U198" s="57"/>
      <x:c r="V198" s="57"/>
      <x:c r="W198" s="57"/>
      <x:c r="X198" s="57"/>
      <x:c r="Y198" s="57"/>
      <x:c r="Z198" s="57"/>
      <x:c r="AA198" s="57"/>
      <x:c r="AB198" s="57"/>
      <x:c r="AC198" s="57"/>
      <x:c r="AD198" s="57"/>
    </x:row>
    <x:row r="199">
      <x:c r="A199" s="57"/>
      <x:c r="B199" s="57"/>
      <x:c r="C199" s="57" t="n">
        <x:v>198</x:v>
      </x:c>
      <x:c r="D199" s="57"/>
      <x:c r="E199" s="57"/>
      <x:c r="F199" s="57"/>
      <x:c r="G199" s="57"/>
      <x:c r="H199" s="57"/>
      <x:c r="I199" s="57"/>
      <x:c r="J199" s="57"/>
      <x:c r="K199" s="57" t="str">
        <x:f>IF(OR(I199="",J199=""),"",ABS(I199-J199))</x:f>
      </x:c>
      <x:c r="L199" s="57"/>
      <x:c r="M199" s="57"/>
      <x:c r="N199" s="57" t="str">
        <x:f>IF(OR(L199="",M199=""),"",ABS(L199-M199))</x:f>
      </x:c>
      <x:c r="O199" s="57"/>
      <x:c r="P199" s="57"/>
      <x:c r="Q199" s="57" t="str">
        <x:f>IF(OR(O199="",P199=""),"",ABS(O199-P199))</x:f>
      </x:c>
      <x:c r="R199" s="57"/>
      <x:c r="S199" s="57"/>
      <x:c r="T199" s="57"/>
      <x:c r="U199" s="57"/>
      <x:c r="V199" s="57"/>
      <x:c r="W199" s="57"/>
      <x:c r="X199" s="57"/>
      <x:c r="Y199" s="57"/>
      <x:c r="Z199" s="57"/>
      <x:c r="AA199" s="57"/>
      <x:c r="AB199" s="57"/>
      <x:c r="AC199" s="57"/>
      <x:c r="AD199" s="57"/>
    </x:row>
    <x:row r="200">
      <x:c r="A200" s="57"/>
      <x:c r="B200" s="57"/>
      <x:c r="C200" s="57" t="n">
        <x:v>199</x:v>
      </x:c>
      <x:c r="D200" s="57"/>
      <x:c r="E200" s="57"/>
      <x:c r="F200" s="57"/>
      <x:c r="G200" s="57"/>
      <x:c r="H200" s="57"/>
      <x:c r="I200" s="57"/>
      <x:c r="J200" s="57"/>
      <x:c r="K200" s="57" t="str">
        <x:f>IF(OR(I200="",J200=""),"",ABS(I200-J200))</x:f>
      </x:c>
      <x:c r="L200" s="57"/>
      <x:c r="M200" s="57"/>
      <x:c r="N200" s="57" t="str">
        <x:f>IF(OR(L200="",M200=""),"",ABS(L200-M200))</x:f>
      </x:c>
      <x:c r="O200" s="57"/>
      <x:c r="P200" s="57"/>
      <x:c r="Q200" s="57" t="str">
        <x:f>IF(OR(O200="",P200=""),"",ABS(O200-P200))</x:f>
      </x:c>
      <x:c r="R200" s="57"/>
      <x:c r="S200" s="57"/>
      <x:c r="T200" s="57"/>
      <x:c r="U200" s="57"/>
      <x:c r="V200" s="57"/>
      <x:c r="W200" s="57"/>
      <x:c r="X200" s="57"/>
      <x:c r="Y200" s="57"/>
      <x:c r="Z200" s="57"/>
      <x:c r="AA200" s="57"/>
      <x:c r="AB200" s="57"/>
      <x:c r="AC200" s="57"/>
      <x:c r="AD200" s="57"/>
    </x:row>
    <x:row r="201">
      <x:c r="A201" s="57"/>
      <x:c r="B201" s="57"/>
      <x:c r="C201" s="57" t="n">
        <x:v>200</x:v>
      </x:c>
      <x:c r="D201" s="57"/>
      <x:c r="E201" s="57"/>
      <x:c r="F201" s="57"/>
      <x:c r="G201" s="57"/>
      <x:c r="H201" s="57"/>
      <x:c r="I201" s="57"/>
      <x:c r="J201" s="57"/>
      <x:c r="K201" s="57" t="str">
        <x:f>IF(OR(I201="",J201=""),"",ABS(I201-J201))</x:f>
      </x:c>
      <x:c r="L201" s="57"/>
      <x:c r="M201" s="57"/>
      <x:c r="N201" s="57" t="str">
        <x:f>IF(OR(L201="",M201=""),"",ABS(L201-M201))</x:f>
      </x:c>
      <x:c r="O201" s="57"/>
      <x:c r="P201" s="57"/>
      <x:c r="Q201" s="57" t="str">
        <x:f>IF(OR(O201="",P201=""),"",ABS(O201-P201))</x:f>
      </x:c>
      <x:c r="R201" s="57"/>
      <x:c r="S201" s="57"/>
      <x:c r="T201" s="57"/>
      <x:c r="U201" s="57"/>
      <x:c r="V201" s="57"/>
      <x:c r="W201" s="57"/>
      <x:c r="X201" s="57"/>
      <x:c r="Y201" s="57"/>
      <x:c r="Z201" s="57"/>
      <x:c r="AA201" s="57"/>
      <x:c r="AB201" s="57"/>
      <x:c r="AC201" s="57"/>
      <x:c r="AD201" s="57"/>
    </x:row>
  </x:sheetData>
  <x:conditionalFormatting sqref="K2:K26">
    <x:cfRule type="containsText" dxfId="3" priority="1" operator="containsText" text="PASS"/>
    <x:cfRule type="containsText" dxfId="2" priority="2" operator="containsText" text="FAIL"/>
  </x:conditionalFormatting>
  <x:conditionalFormatting sqref="AB2:AB201">
    <x:cfRule type="expression" dxfId="14" priority="3">
      <x:formula>AB2="PASS"</x:formula>
    </x:cfRule>
    <x:cfRule type="expression" dxfId="15" priority="4">
      <x:formula>AB2="FAIL"</x:formula>
    </x:cfRule>
    <x:cfRule type="expression" dxfId="16" priority="5">
      <x:formula>AB2="PARTIAL"</x:formula>
    </x:cfRule>
  </x:conditionalFormatting>
  <x:dataValidations count="9">
    <x:dataValidation type="list" sqref="K2:K26">
      <x:formula1>"PASS,FAIL,N/A"</x:formula1>
    </x:dataValidation>
    <x:dataValidation type="list" sqref="F2:G201">
      <x:formula1>"Elco Benar,Elco Salah,Bukan_Elco,Null/No Object"</x:formula1>
    </x:dataValidation>
    <x:dataValidation type="list" sqref="U2:U201">
      <x:formula1>"OK,FAIL,NA"</x:formula1>
    </x:dataValidation>
    <x:dataValidation type="list" sqref="V2:V201">
      <x:formula1>"OK,FAIL,NA"</x:formula1>
    </x:dataValidation>
    <x:dataValidation type="list" sqref="W2:W201">
      <x:formula1>"OK,FAIL,NA"</x:formula1>
    </x:dataValidation>
    <x:dataValidation type="list" sqref="X2:X201">
      <x:formula1>"OK,FAIL,NA"</x:formula1>
    </x:dataValidation>
    <x:dataValidation type="list" sqref="Y2:Y201">
      <x:formula1>"OK,FAIL,NA"</x:formula1>
    </x:dataValidation>
    <x:dataValidation type="list" sqref="AA2:AA201">
      <x:formula1>"None,Vision,Tracking,Telemetry/UART,PLC/Modbus,Manipulator,Vacuum,Reorientasi,Placement,Resume,Safety,Other"</x:formula1>
    </x:dataValidation>
    <x:dataValidation type="list" sqref="AB2:AB201">
      <x:formula1>"Belum,PASS,FAIL,PARTIAL"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hidden="0" customWidth="1"/>
    <x:col min="2" max="2" width="58" hidden="0" customWidth="1"/>
    <x:col min="3" max="3" width="56" hidden="0" customWidth="1"/>
  </x:cols>
  <x:sheetData>
    <x:row r="1" ht="15" customHeight="1">
      <x:c r="A1" s="100" t="str">
        <x:v>Istilah</x:v>
      </x:c>
      <x:c r="B1" s="100" t="str">
        <x:v>Definisi</x:v>
      </x:c>
      <x:c r="C1" s="100" t="str">
        <x:v>Cara penggunaan pada pengujian</x:v>
      </x:c>
    </x:row>
    <x:row r="2" ht="78" customHeight="1">
      <x:c r="A2" s="56" t="str">
        <x:v>Elco Benar</x:v>
      </x:c>
      <x:c r="B2" s="56" t="str">
        <x:v>Kapasitor elco yang sesuai kelas/orientasi benar yang ditetapkan sistem.</x:v>
      </x:c>
      <x:c r="C2" s="56" t="str">
        <x:v>Uji terpisah pada deteksi, konveyor, dan integrasi.</x:v>
      </x:c>
    </x:row>
    <x:row r="3" ht="38.25" customHeight="1">
      <x:c r="A3" s="56" t="str">
        <x:v>Elco Salah</x:v>
      </x:c>
      <x:c r="B3" s="56" t="str">
        <x:v>Kapasitor elco target tetapi orientasi/polaritasnya tidak sesuai kondisi benar.</x:v>
      </x:c>
      <x:c r="C3" s="56" t="str">
        <x:v>Jangan digabung dengan Bukan_Elco; uji sebagai kelas tersendiri.</x:v>
      </x:c>
    </x:row>
    <x:row r="4" ht="61.5" customHeight="1">
      <x:c r="A4" s="56" t="str">
        <x:v>Bukan_Elco</x:v>
      </x:c>
      <x:c r="B4" s="56" t="str">
        <x:v>Ada objek fisik, tetapi objek tersebut bukan elco target (mis. kapasitor lain, fuse, obeng, casan).</x:v>
      </x:c>
      <x:c r="C4" s="56" t="str">
        <x:v>Tetap diberi kelas Bukan_Elco saat ada objek non-target.</x:v>
      </x:c>
    </x:row>
    <x:row r="5" ht="44.25" customHeight="1">
      <x:c r="A5" s="56" t="str">
        <x:v>Background / Null</x:v>
      </x:c>
      <x:c r="B5" s="56" t="str">
        <x:v>Belt kosong tanpa objek yang perlu dideteksi.</x:v>
      </x:c>
      <x:c r="C5" s="56" t="str">
        <x:v>Tidak diberi bounding box; dipakai untuk false-positive test.</x:v>
      </x:c>
    </x:row>
    <x:row r="6" ht="58.5" customHeight="1">
      <x:c r="A6" s="56" t="str">
        <x:v>Confidence</x:v>
      </x:c>
      <x:c r="B6" s="56" t="str">
        <x:v>Keyakinan model terhadap prediksi.</x:v>
      </x:c>
      <x:c r="C6" s="56" t="str">
        <x:v>Catat nilai per objek, bukan hanya rata-rata.</x:v>
      </x:c>
    </x:row>
    <x:row r="7" ht="37.5" customHeight="1">
      <x:c r="A7" s="56" t="str">
        <x:v>FPS aktual</x:v>
      </x:c>
      <x:c r="B7" s="56" t="str">
        <x:v>Frame per second yang benar-benar diterima/diproses saat real-case.</x:v>
      </x:c>
      <x:c r="C7" s="56" t="str">
        <x:v>Catat ketika belt diam dan bergerak.</x:v>
      </x:c>
    </x:row>
    <x:row r="8" ht="45" customHeight="1">
      <x:c r="A8" s="56" t="str">
        <x:v>Miss</x:v>
      </x:c>
      <x:c r="B8" s="56" t="str">
        <x:v>Objek ada tetapi tidak terdeteksi.</x:v>
      </x:c>
      <x:c r="C8" s="56" t="str">
        <x:v>Masukkan ke catatan dan hitung per skenario.</x:v>
      </x:c>
    </x:row>
    <x:row r="9" ht="68.25" customHeight="1">
      <x:c r="A9" s="56" t="str">
        <x:v>False positive</x:v>
      </x:c>
      <x:c r="B9" s="56" t="str">
        <x:v>Model mendeteksi objek ketika objek tidak ada atau memberi kelas yang tidak semestinya.</x:v>
      </x:c>
      <x:c r="C9" s="56" t="str">
        <x:v>Sangat penting pada belt kosong dan objek non-target.</x:v>
      </x:c>
    </x:row>
    <x:row r="10" ht="15" customHeight="1">
      <x:c r="A10" s="56" t="str">
        <x:v>Siklus</x:v>
      </x:c>
      <x:c r="B10" s="56" t="str">
        <x:v>Deteksi → stop conveyor → aksi manipulator → placement → conveyor resume.</x:v>
      </x:c>
      <x:c r="C10" s="56" t="str">
        <x:v>Gunakan untuk keberhasilan end-to-end dan cycle time.</x:v>
      </x:c>
    </x:row>
    <x:row r="11" ht="15" customHeight="1">
      <x:c r="A11" s="56" t="str">
        <x:v>Smoke test</x:v>
      </x:c>
      <x:c r="B11" s="56" t="str">
        <x:v>Pengecekan awal sebelum pengujian formal.</x:v>
      </x:c>
      <x:c r="C11" s="56" t="str">
        <x:v>Boleh dilakukan 3 kali untuk memastikan alat siap.</x:v>
      </x:c>
    </x:row>
    <x:row r="12" ht="15" customHeight="1">
      <x:c r="A12" s="55" t="str">
        <x:v>Formal test</x:v>
      </x:c>
      <x:c r="B12" s="55" t="str">
        <x:v>Pengujian yang hasilnya dipakai sebagai data pelaporan TA.</x:v>
      </x:c>
      <x:c r="C12" s="55" t="str">
        <x:v>Komunikasi, integrasi, koreksi, dan cycle time: 10 kali per skenario.</x:v>
      </x:c>
    </x:row>
    <x:row r="13" ht="48" customHeight="1">
      <x:c r="A13" s="56" t="str">
        <x:v>Generalisasi fisik baru</x:v>
      </x:c>
      <x:c r="B13" s="56" t="str">
        <x:v>Uji menggunakan unit fisik yang tidak digunakan saat train/validation.</x:v>
      </x:c>
      <x:c r="C13" s="56" t="str">
        <x:v>Gunakan pada RC-28 / DS-02.</x:v>
      </x:c>
    </x:row>
    <x:row r="14" ht="57.75" customHeight="1">
      <x:c r="A14" s="56" t="str">
        <x:v>Koordinat fisik</x:v>
      </x:c>
      <x:c r="B14" s="56" t="str">
        <x:v>Posisi target pada konveyor dalam satuan mm hasil mapping kamera/pixel.</x:v>
      </x:c>
      <x:c r="C14" s="56" t="str">
        <x:v>Gunakan pada RC-26 / CAL-01.</x:v>
      </x:c>
    </x:row>
    <x:row r="15" ht="69.75" customHeight="1">
      <x:c r="A15" s="56" t="str">
        <x:v>Failure stage</x:v>
      </x:c>
      <x:c r="B15" s="56" t="str">
        <x:v>Tahap tempat kegagalan terjadi: vision, komunikasi, PLC, pickup, reorientasi, placement, resume.</x:v>
      </x:c>
      <x:c r="C15" s="56" t="str">
        <x:v>Catat pada Log_Hasil dan Failure_Log.</x:v>
      </x:c>
    </x:row>
    <x:row r="16">
      <x:c r="A16" s="57" t="str">
        <x:v>Retest</x:v>
      </x:c>
      <x:c r="B16" s="57" t="str">
        <x:v>Pengulangan test case setelah perbaikan terhadap kegagalan sebelumnya.</x:v>
      </x:c>
      <x:c r="C16" s="57" t="str">
        <x:v>Hubungkan dengan Retest ID agar bukti dapat ditelusuri.</x:v>
      </x:c>
    </x:row>
    <x:row r="17">
      <x:c r="A17" s="57" t="str">
        <x:v>Bukti</x:v>
      </x:c>
      <x:c r="B17" s="57" t="str">
        <x:v>Video, screenshot, log, tabel pengukuran, atau foto yang menguatkan hasil.</x:v>
      </x:c>
      <x:c r="C17" s="57" t="str">
        <x:v>Nama file bukti sebaiknya memuat ID skenario dan nomor run.</x:v>
      </x:c>
    </x:row>
    <x:row r="18">
      <x:c r="A18" s="57"/>
      <x:c r="B18" s="57"/>
      <x:c r="C18" s="57"/>
    </x:row>
    <x:row r="19">
      <x:c r="A19" s="73" t="str">
        <x:v>Catatan metode</x:v>
      </x:c>
      <x:c r="B19" s="73"/>
      <x:c r="C19" s="73"/>
    </x:row>
    <x:row r="20">
      <x:c r="A20" s="57" t="str">
        <x:v>1</x:v>
      </x:c>
      <x:c r="B20" s="57" t="str">
        <x:v>Jalankan RC-01 sampai RC-03 dan gate RC-21 sampai RC-25 sebelum pengujian hardware penuh.</x:v>
      </x:c>
      <x:c r="C20" s="57"/>
    </x:row>
    <x:row r="21">
      <x:c r="A21" s="57" t="str">
        <x:v>2</x:v>
      </x:c>
      <x:c r="B21" s="57" t="str">
        <x:v>Smoke test boleh 3 pengulangan; jangan disamakan dengan pengujian formal.</x:v>
      </x:c>
      <x:c r="C21" s="57"/>
    </x:row>
    <x:row r="22">
      <x:c r="A22" s="57" t="str">
        <x:v>3</x:v>
      </x:c>
      <x:c r="B22" s="57" t="str">
        <x:v>Komunikasi, integrasi, koreksi orientasi, dan waktu siklus: 10 kali per skenario.</x:v>
      </x:c>
      <x:c r="C22" s="57"/>
    </x:row>
    <x:row r="23">
      <x:c r="A23" s="57" t="str">
        <x:v>4</x:v>
      </x:c>
      <x:c r="B23" s="57" t="str">
        <x:v>Repeatability mekanik pada MEC-01: minimal 30 iterasi dari arah berbeda.</x:v>
      </x:c>
      <x:c r="C23" s="57"/>
    </x:row>
    <x:row r="24">
      <x:c r="A24" s="57" t="str">
        <x:v>5</x:v>
      </x:c>
      <x:c r="B24" s="57" t="str">
        <x:v>Jika FAIL, simpan bukti, catat failure stage, lakukan perbaikan, lalu retest dengan ID yang dapat ditelusuri.</x:v>
      </x:c>
      <x:c r="C24" s="5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25"/>
  <x:cols>
    <x:col min="1" max="1" width="19" customWidth="1"/>
    <x:col min="2" max="2" width="16" customWidth="1"/>
    <x:col min="3" max="3" width="36" customWidth="1"/>
    <x:col min="4" max="4" width="34" customWidth="1"/>
    <x:col min="5" max="5" width="16" customWidth="1"/>
    <x:col min="6" max="6" width="28" customWidth="1"/>
    <x:col min="7" max="7" width="35" customWidth="1"/>
    <x:col min="8" max="8" width="24" customWidth="1"/>
    <x:col min="9" max="9" width="12" customWidth="1"/>
    <x:col min="10" max="10" width="24" customWidth="1"/>
  </x:cols>
  <x:sheetData>
    <x:row r="1" ht="18">
      <x:c r="A1" s="7" t="s">
        <x:v>187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3" ht="156.75">
      <x:c r="A3" s="13" t="s">
        <x:v>188</x:v>
      </x:c>
      <x:c r="B3" s="11" t="s">
        <x:v>189</x:v>
      </x:c>
      <x:c r="C3" s="14"/>
    </x:row>
    <x:row r="4" ht="42.75">
      <x:c r="A4" s="13" t="s">
        <x:v>190</x:v>
      </x:c>
      <x:c r="B4" s="11" t="s">
        <x:v>191</x:v>
      </x:c>
      <x:c r="C4" s="14"/>
    </x:row>
    <x:row r="5" ht="85.5">
      <x:c r="A5" s="13" t="s">
        <x:v>192</x:v>
      </x:c>
      <x:c r="B5" s="11" t="s">
        <x:v>193</x:v>
      </x:c>
      <x:c r="C5" s="14"/>
    </x:row>
    <x:row r="6" ht="99.75">
      <x:c r="A6" s="13" t="s">
        <x:v>194</x:v>
      </x:c>
      <x:c r="B6" s="11" t="s">
        <x:v>195</x:v>
      </x:c>
      <x:c r="C6" s="14"/>
    </x:row>
    <x:row r="7" ht="85.5">
      <x:c r="A7" s="13" t="s">
        <x:v>196</x:v>
      </x:c>
      <x:c r="B7" s="11" t="s">
        <x:v>197</x:v>
      </x:c>
      <x:c r="C7" s="14"/>
    </x:row>
    <x:row r="8" ht="85.5">
      <x:c r="A8" s="13" t="s">
        <x:v>198</x:v>
      </x:c>
      <x:c r="B8" s="11" t="s">
        <x:v>199</x:v>
      </x:c>
      <x:c r="C8" s="14"/>
    </x:row>
    <x:row r="10" ht="15">
      <x:c r="A10" s="15" t="s">
        <x:v>20</x:v>
      </x:c>
      <x:c r="B10" s="15" t="s">
        <x:v>200</x:v>
      </x:c>
      <x:c r="C10" s="15" t="s">
        <x:v>201</x:v>
      </x:c>
      <x:c r="D10" s="15" t="s">
        <x:v>202</x:v>
      </x:c>
      <x:c r="E10" s="15" t="s">
        <x:v>203</x:v>
      </x:c>
      <x:c r="F10" s="15" t="s">
        <x:v>204</x:v>
      </x:c>
      <x:c r="G10" s="15" t="s">
        <x:v>205</x:v>
      </x:c>
      <x:c r="H10" s="15" t="s">
        <x:v>206</x:v>
      </x:c>
      <x:c r="I10" s="15" t="s">
        <x:v>28</x:v>
      </x:c>
      <x:c r="J10" s="15" t="s">
        <x:v>29</x:v>
      </x:c>
    </x:row>
    <x:row r="11" ht="44.099998474121094" customHeight="1">
      <x:c r="A11" s="11" t="s">
        <x:v>207</x:v>
      </x:c>
      <x:c r="B11" s="11" t="s">
        <x:v>208</x:v>
      </x:c>
      <x:c r="C11" s="11" t="s">
        <x:v>209</x:v>
      </x:c>
      <x:c r="D11" s="11" t="s">
        <x:v>210</x:v>
      </x:c>
      <x:c r="E11" s="11" t="s">
        <x:v>211</x:v>
      </x:c>
      <x:c r="F11" s="11" t="s">
        <x:v>212</x:v>
      </x:c>
      <x:c r="G11" s="11" t="s">
        <x:v>213</x:v>
      </x:c>
      <x:c r="H11" s="11" t="s">
        <x:v>214</x:v>
      </x:c>
      <x:c r="I11" s="11" t="s">
        <x:v>38</x:v>
      </x:c>
      <x:c r="J11" s="11"/>
    </x:row>
    <x:row r="12" ht="44.099998474121094" customHeight="1">
      <x:c r="A12" s="11" t="s">
        <x:v>215</x:v>
      </x:c>
      <x:c r="B12" s="11" t="s">
        <x:v>216</x:v>
      </x:c>
      <x:c r="C12" s="11" t="s">
        <x:v>217</x:v>
      </x:c>
      <x:c r="D12" s="11" t="s">
        <x:v>218</x:v>
      </x:c>
      <x:c r="E12" s="11" t="s">
        <x:v>211</x:v>
      </x:c>
      <x:c r="F12" s="11" t="s">
        <x:v>219</x:v>
      </x:c>
      <x:c r="G12" s="11" t="s">
        <x:v>220</x:v>
      </x:c>
      <x:c r="H12" s="11" t="s">
        <x:v>221</x:v>
      </x:c>
      <x:c r="I12" s="11" t="s">
        <x:v>38</x:v>
      </x:c>
      <x:c r="J12" s="11"/>
    </x:row>
    <x:row r="13" ht="44.099998474121094" customHeight="1">
      <x:c r="A13" s="11" t="s">
        <x:v>222</x:v>
      </x:c>
      <x:c r="B13" s="11" t="s">
        <x:v>223</x:v>
      </x:c>
      <x:c r="C13" s="11" t="s">
        <x:v>224</x:v>
      </x:c>
      <x:c r="D13" s="11" t="s">
        <x:v>225</x:v>
      </x:c>
      <x:c r="E13" s="11" t="s">
        <x:v>226</x:v>
      </x:c>
      <x:c r="F13" s="11" t="s">
        <x:v>227</x:v>
      </x:c>
      <x:c r="G13" s="11" t="s">
        <x:v>228</x:v>
      </x:c>
      <x:c r="H13" s="11" t="s">
        <x:v>229</x:v>
      </x:c>
      <x:c r="I13" s="11" t="s">
        <x:v>38</x:v>
      </x:c>
      <x:c r="J13" s="11"/>
    </x:row>
    <x:row r="14" ht="44.099998474121094" customHeight="1">
      <x:c r="A14" s="11" t="s">
        <x:v>230</x:v>
      </x:c>
      <x:c r="B14" s="11" t="s">
        <x:v>231</x:v>
      </x:c>
      <x:c r="C14" s="11" t="s">
        <x:v>232</x:v>
      </x:c>
      <x:c r="D14" s="11" t="s">
        <x:v>233</x:v>
      </x:c>
      <x:c r="E14" s="11" t="s">
        <x:v>234</x:v>
      </x:c>
      <x:c r="F14" s="11" t="s">
        <x:v>235</x:v>
      </x:c>
      <x:c r="G14" s="11" t="s">
        <x:v>236</x:v>
      </x:c>
      <x:c r="H14" s="11" t="s">
        <x:v>237</x:v>
      </x:c>
      <x:c r="I14" s="11" t="s">
        <x:v>38</x:v>
      </x:c>
      <x:c r="J14" s="11"/>
    </x:row>
    <x:row r="15" ht="44.099998474121094" customHeight="1">
      <x:c r="A15" s="11" t="s">
        <x:v>238</x:v>
      </x:c>
      <x:c r="B15" s="11" t="s">
        <x:v>239</x:v>
      </x:c>
      <x:c r="C15" s="11" t="s">
        <x:v>240</x:v>
      </x:c>
      <x:c r="D15" s="11" t="s">
        <x:v>241</x:v>
      </x:c>
      <x:c r="E15" s="11" t="s">
        <x:v>242</x:v>
      </x:c>
      <x:c r="F15" s="11" t="s">
        <x:v>243</x:v>
      </x:c>
      <x:c r="G15" s="11" t="s">
        <x:v>244</x:v>
      </x:c>
      <x:c r="H15" s="11" t="s">
        <x:v>245</x:v>
      </x:c>
      <x:c r="I15" s="11" t="s">
        <x:v>38</x:v>
      </x:c>
      <x:c r="J15" s="11"/>
    </x:row>
    <x:row r="16" ht="44.099998474121094" customHeight="1">
      <x:c r="A16" s="11" t="s">
        <x:v>246</x:v>
      </x:c>
      <x:c r="B16" s="11" t="s">
        <x:v>247</x:v>
      </x:c>
      <x:c r="C16" s="11" t="s">
        <x:v>248</x:v>
      </x:c>
      <x:c r="D16" s="11" t="s">
        <x:v>249</x:v>
      </x:c>
      <x:c r="E16" s="11" t="s">
        <x:v>250</x:v>
      </x:c>
      <x:c r="F16" s="11" t="s">
        <x:v>251</x:v>
      </x:c>
      <x:c r="G16" s="11" t="s">
        <x:v>252</x:v>
      </x:c>
      <x:c r="H16" s="11" t="s">
        <x:v>253</x:v>
      </x:c>
      <x:c r="I16" s="11" t="s">
        <x:v>38</x:v>
      </x:c>
      <x:c r="J16" s="11"/>
    </x:row>
    <x:row r="17" ht="44.099998474121094" customHeight="1">
      <x:c r="A17" s="11" t="s">
        <x:v>254</x:v>
      </x:c>
      <x:c r="B17" s="11" t="s">
        <x:v>255</x:v>
      </x:c>
      <x:c r="C17" s="11" t="s">
        <x:v>256</x:v>
      </x:c>
      <x:c r="D17" s="11" t="s">
        <x:v>257</x:v>
      </x:c>
      <x:c r="E17" s="11" t="s">
        <x:v>258</x:v>
      </x:c>
      <x:c r="F17" s="11" t="s">
        <x:v>259</x:v>
      </x:c>
      <x:c r="G17" s="11" t="s">
        <x:v>260</x:v>
      </x:c>
      <x:c r="H17" s="11" t="s">
        <x:v>261</x:v>
      </x:c>
      <x:c r="I17" s="11" t="s">
        <x:v>38</x:v>
      </x:c>
      <x:c r="J17" s="11"/>
    </x:row>
    <x:row r="18" ht="44.099998474121094" customHeight="1">
      <x:c r="A18" s="11" t="s">
        <x:v>262</x:v>
      </x:c>
      <x:c r="B18" s="11" t="s">
        <x:v>263</x:v>
      </x:c>
      <x:c r="C18" s="11" t="s">
        <x:v>264</x:v>
      </x:c>
      <x:c r="D18" s="11" t="s">
        <x:v>265</x:v>
      </x:c>
      <x:c r="E18" s="11" t="s">
        <x:v>266</x:v>
      </x:c>
      <x:c r="F18" s="11" t="s">
        <x:v>267</x:v>
      </x:c>
      <x:c r="G18" s="11" t="s">
        <x:v>268</x:v>
      </x:c>
      <x:c r="H18" s="11" t="s">
        <x:v>269</x:v>
      </x:c>
      <x:c r="I18" s="11" t="s">
        <x:v>38</x:v>
      </x:c>
      <x:c r="J18" s="11"/>
    </x:row>
    <x:row r="19" ht="44.099998474121094" customHeight="1">
      <x:c r="A19" s="11" t="s">
        <x:v>270</x:v>
      </x:c>
      <x:c r="B19" s="11" t="s">
        <x:v>271</x:v>
      </x:c>
      <x:c r="C19" s="11" t="s">
        <x:v>272</x:v>
      </x:c>
      <x:c r="D19" s="11" t="s">
        <x:v>273</x:v>
      </x:c>
      <x:c r="E19" s="11" t="s">
        <x:v>274</x:v>
      </x:c>
      <x:c r="F19" s="11" t="s">
        <x:v>275</x:v>
      </x:c>
      <x:c r="G19" s="11" t="s">
        <x:v>276</x:v>
      </x:c>
      <x:c r="H19" s="11" t="s">
        <x:v>277</x:v>
      </x:c>
      <x:c r="I19" s="11" t="s">
        <x:v>38</x:v>
      </x:c>
      <x:c r="J19" s="11"/>
    </x:row>
    <x:row r="20" ht="44.099998474121094" customHeight="1">
      <x:c r="A20" s="11" t="s">
        <x:v>278</x:v>
      </x:c>
      <x:c r="B20" s="11" t="s">
        <x:v>279</x:v>
      </x:c>
      <x:c r="C20" s="11" t="s">
        <x:v>280</x:v>
      </x:c>
      <x:c r="D20" s="11" t="s">
        <x:v>281</x:v>
      </x:c>
      <x:c r="E20" s="11" t="s">
        <x:v>282</x:v>
      </x:c>
      <x:c r="F20" s="11" t="s">
        <x:v>283</x:v>
      </x:c>
      <x:c r="G20" s="11" t="s">
        <x:v>284</x:v>
      </x:c>
      <x:c r="H20" s="11" t="s">
        <x:v>285</x:v>
      </x:c>
      <x:c r="I20" s="11" t="s">
        <x:v>38</x:v>
      </x:c>
      <x:c r="J20" s="11"/>
    </x:row>
    <x:row r="21" ht="44.099998474121094" customHeight="1">
      <x:c r="A21" s="11" t="s">
        <x:v>286</x:v>
      </x:c>
      <x:c r="B21" s="11" t="s">
        <x:v>279</x:v>
      </x:c>
      <x:c r="C21" s="11" t="s">
        <x:v>287</x:v>
      </x:c>
      <x:c r="D21" s="11" t="s">
        <x:v>288</x:v>
      </x:c>
      <x:c r="E21" s="11" t="s">
        <x:v>289</x:v>
      </x:c>
      <x:c r="F21" s="11" t="s">
        <x:v>290</x:v>
      </x:c>
      <x:c r="G21" s="11" t="s">
        <x:v>291</x:v>
      </x:c>
      <x:c r="H21" s="11" t="s">
        <x:v>292</x:v>
      </x:c>
      <x:c r="I21" s="11" t="s">
        <x:v>38</x:v>
      </x:c>
      <x:c r="J21" s="11"/>
    </x:row>
    <x:row r="22" ht="44.099998474121094" customHeight="1">
      <x:c r="A22" s="11" t="s">
        <x:v>293</x:v>
      </x:c>
      <x:c r="B22" s="11" t="s">
        <x:v>294</x:v>
      </x:c>
      <x:c r="C22" s="11" t="s">
        <x:v>295</x:v>
      </x:c>
      <x:c r="D22" s="11" t="s">
        <x:v>296</x:v>
      </x:c>
      <x:c r="E22" s="11" t="s">
        <x:v>297</x:v>
      </x:c>
      <x:c r="F22" s="11" t="s">
        <x:v>298</x:v>
      </x:c>
      <x:c r="G22" s="11" t="s">
        <x:v>299</x:v>
      </x:c>
      <x:c r="H22" s="11" t="s">
        <x:v>300</x:v>
      </x:c>
      <x:c r="I22" s="11" t="s">
        <x:v>38</x:v>
      </x:c>
      <x:c r="J22" s="11"/>
    </x:row>
    <x:row r="23" ht="44.099998474121094" customHeight="1">
      <x:c r="A23" s="11" t="s">
        <x:v>301</x:v>
      </x:c>
      <x:c r="B23" s="11" t="s">
        <x:v>294</x:v>
      </x:c>
      <x:c r="C23" s="11" t="s">
        <x:v>302</x:v>
      </x:c>
      <x:c r="D23" s="11" t="s">
        <x:v>303</x:v>
      </x:c>
      <x:c r="E23" s="11" t="s">
        <x:v>304</x:v>
      </x:c>
      <x:c r="F23" s="11" t="s">
        <x:v>305</x:v>
      </x:c>
      <x:c r="G23" s="11" t="s">
        <x:v>306</x:v>
      </x:c>
      <x:c r="H23" s="11" t="s">
        <x:v>307</x:v>
      </x:c>
      <x:c r="I23" s="11" t="s">
        <x:v>38</x:v>
      </x:c>
      <x:c r="J23" s="11"/>
    </x:row>
    <x:row r="24" ht="44.099998474121094" customHeight="1">
      <x:c r="A24" s="11" t="s">
        <x:v>308</x:v>
      </x:c>
      <x:c r="B24" s="11" t="s">
        <x:v>294</x:v>
      </x:c>
      <x:c r="C24" s="11" t="s">
        <x:v>309</x:v>
      </x:c>
      <x:c r="D24" s="11" t="s">
        <x:v>310</x:v>
      </x:c>
      <x:c r="E24" s="11" t="s">
        <x:v>311</x:v>
      </x:c>
      <x:c r="F24" s="11" t="s">
        <x:v>312</x:v>
      </x:c>
      <x:c r="G24" s="11" t="s">
        <x:v>313</x:v>
      </x:c>
      <x:c r="H24" s="11" t="s">
        <x:v>68</x:v>
      </x:c>
      <x:c r="I24" s="11" t="s">
        <x:v>38</x:v>
      </x:c>
      <x:c r="J24" s="11"/>
    </x:row>
    <x:row r="25" ht="44.099998474121094" customHeight="1">
      <x:c r="A25" s="11" t="s">
        <x:v>314</x:v>
      </x:c>
      <x:c r="B25" s="11" t="s">
        <x:v>315</x:v>
      </x:c>
      <x:c r="C25" s="11" t="s">
        <x:v>316</x:v>
      </x:c>
      <x:c r="D25" s="11" t="s">
        <x:v>317</x:v>
      </x:c>
      <x:c r="E25" s="11" t="s">
        <x:v>311</x:v>
      </x:c>
      <x:c r="F25" s="11" t="s">
        <x:v>318</x:v>
      </x:c>
      <x:c r="G25" s="11" t="s">
        <x:v>319</x:v>
      </x:c>
      <x:c r="H25" s="11" t="s">
        <x:v>320</x:v>
      </x:c>
      <x:c r="I25" s="11" t="s">
        <x:v>38</x:v>
      </x:c>
      <x:c r="J25" s="11"/>
    </x:row>
    <x:row r="26" ht="44.099998474121094" customHeight="1">
      <x:c r="A26" s="11" t="s">
        <x:v>321</x:v>
      </x:c>
      <x:c r="B26" s="11" t="s">
        <x:v>322</x:v>
      </x:c>
      <x:c r="C26" s="11" t="s">
        <x:v>323</x:v>
      </x:c>
      <x:c r="D26" s="11" t="s">
        <x:v>324</x:v>
      </x:c>
      <x:c r="E26" s="11" t="s">
        <x:v>325</x:v>
      </x:c>
      <x:c r="F26" s="11" t="s">
        <x:v>326</x:v>
      </x:c>
      <x:c r="G26" s="11" t="s">
        <x:v>327</x:v>
      </x:c>
      <x:c r="H26" s="11" t="s">
        <x:v>328</x:v>
      </x:c>
      <x:c r="I26" s="11" t="s">
        <x:v>38</x:v>
      </x:c>
      <x:c r="J26" s="11"/>
    </x:row>
    <x:row r="27">
      <x:c r="A27" s="80" t="str">
        <x:v>DS-02</x:v>
      </x:c>
      <x:c r="B27" s="81" t="str">
        <x:v>Generalisasi fisik baru</x:v>
      </x:c>
      <x:c r="C27" s="81" t="str">
        <x:v>Uji unit fisik yang tidak digunakan saat training/validation.</x:v>
      </x:c>
      <x:c r="D27" s="81" t="str">
        <x:v>Kapasitor fisik baru; variasi ukuran, warna, sudut, posisi, dan pencahayaan yang masih sesuai batasan penelitian.</x:v>
      </x:c>
      <x:c r="E27" s="81" t="str">
        <x:v>Set uji terpisah</x:v>
      </x:c>
      <x:c r="F27" s="81" t="str">
        <x:v>Akurasi kelas, confidence, miss, false positive</x:v>
      </x:c>
      <x:c r="G27" s="81" t="str">
        <x:v>Unit uji tidak berasal dari train/validation dan hasil dicatat per unit fisik.</x:v>
      </x:c>
      <x:c r="H27" s="81" t="str">
        <x:v>Video/frame uji + log</x:v>
      </x:c>
      <x:c r="I27" s="81" t="str">
        <x:v>Belum</x:v>
      </x:c>
      <x:c r="J27" s="82" t="str">
        <x:v>Sesuai rancangan dataset uji generalisasi pada proposal.</x:v>
      </x:c>
    </x:row>
    <x:row r="28">
      <x:c r="A28" s="83" t="str">
        <x:v>CAL-01</x:v>
      </x:c>
      <x:c r="B28" s="57" t="str">
        <x:v>Kalibrasi koordinat</x:v>
      </x:c>
      <x:c r="C28" s="57" t="str">
        <x:v>Verifikasi mapping pixel kamera ke koordinat fisik pada konveyor.</x:v>
      </x:c>
      <x:c r="D28" s="57" t="str">
        <x:v>Beberapa titik referensi di ROI.</x:v>
      </x:c>
      <x:c r="E28" s="57" t="str">
        <x:v>Minimal 9 titik referensi</x:v>
      </x:c>
      <x:c r="F28" s="57" t="str">
        <x:v>X/Y aktual, X/Y vision, error X/Y</x:v>
      </x:c>
      <x:c r="G28" s="57" t="str">
        <x:v>Error berada dalam toleransi pickup yang ditetapkan sebelum pengujian.</x:v>
      </x:c>
      <x:c r="H28" s="57" t="str">
        <x:v>Tabel koordinat + grid/foto</x:v>
      </x:c>
      <x:c r="I28" s="57" t="str">
        <x:v>Belum</x:v>
      </x:c>
      <x:c r="J28" s="84" t="str">
        <x:v>Tambahan engineering untuk memvalidasi input posisi manipulator.</x:v>
      </x:c>
    </x:row>
    <x:row r="29">
      <x:c r="A29" s="83" t="str">
        <x:v>VAC-01</x:v>
      </x:c>
      <x:c r="B29" s="57" t="str">
        <x:v>Vacuum gripper</x:v>
      </x:c>
      <x:c r="C29" s="57" t="str">
        <x:v>Uji kemampuan pickup, hold, transfer, dan release.</x:v>
      </x:c>
      <x:c r="D29" s="57" t="str">
        <x:v>Elco pada beberapa posisi valid di area pick.</x:v>
      </x:c>
      <x:c r="E29" s="57" t="str">
        <x:v>Minimal 10 siklus per posisi</x:v>
      </x:c>
      <x:c r="F29" s="57" t="str">
        <x:v>Pickup success, drop, release success</x:v>
      </x:c>
      <x:c r="G29" s="57" t="str">
        <x:v>Objek terambil, tidak terlepas saat transfer, dan release berhasil; kegagalan dicatat.</x:v>
      </x:c>
      <x:c r="H29" s="57" t="str">
        <x:v>Video + tabel reliability</x:v>
      </x:c>
      <x:c r="I29" s="57" t="str">
        <x:v>Belum</x:v>
      </x:c>
      <x:c r="J29" s="84" t="str">
        <x:v>Proposal memasukkan vacuum gripper dalam skenario test/failure.</x:v>
      </x:c>
    </x:row>
    <x:row r="30">
      <x:c r="A30" s="85" t="str">
        <x:v>GATE-01</x:v>
      </x:c>
      <x:c r="B30" s="86" t="str">
        <x:v>Pre-realcase gate</x:v>
      </x:c>
      <x:c r="C30" s="86" t="str">
        <x:v>Pastikan verifikasi angle kontinu, telemetry/CRC, tracking debounce, firmware safety, dan automated tests telah PASS.</x:v>
      </x:c>
      <x:c r="D30" s="86" t="str">
        <x:v>Build software/firmware yang akan digunakan saat real-case.</x:v>
      </x:c>
      <x:c r="E30" s="86" t="str">
        <x:v>1 kali per versi build</x:v>
      </x:c>
      <x:c r="F30" s="86" t="str">
        <x:v>Jumlah gate PASS/FAIL</x:v>
      </x:c>
      <x:c r="G30" s="86" t="str">
        <x:v>Seluruh gate PASS sebelum full hardware real-case.</x:v>
      </x:c>
      <x:c r="H30" s="86" t="str">
        <x:v>Output test suite + checklist</x:v>
      </x:c>
      <x:c r="I30" s="86" t="str">
        <x:v>Belum</x:v>
      </x:c>
      <x:c r="J30" s="87" t="str">
        <x:v>Acuan repository remediation; bukan pengganti pengujian formal proposal.</x:v>
      </x:c>
    </x:row>
  </x:sheetData>
  <x:mergeCells>
    <x:mergeCell ref="A1:J1"/>
  </x:mergeCells>
  <x:conditionalFormatting sqref="I11:I26">
    <x:cfRule type="containsText" dxfId="1" priority="1" operator="containsText" text="PASS"/>
    <x:cfRule type="containsText" dxfId="0" priority="2" operator="containsText" text="FAIL"/>
  </x:conditionalFormatting>
  <x:conditionalFormatting sqref="I11:I30">
    <x:cfRule type="expression" dxfId="11" priority="3">
      <x:formula>I11="PASS"</x:formula>
    </x:cfRule>
    <x:cfRule type="expression" dxfId="12" priority="4">
      <x:formula>I11="FAIL"</x:formula>
    </x:cfRule>
    <x:cfRule type="expression" dxfId="13" priority="5">
      <x:formula>I11="PARTIAL"</x:formula>
    </x:cfRule>
  </x:conditionalFormatting>
  <x:dataValidations count="2">
    <x:dataValidation type="list" sqref="I11:I26">
      <x:formula1>"Belum,Berjalan,PASS,FAIL,N/A"</x:formula1>
    </x:dataValidation>
    <x:dataValidation type="list" sqref="I11:I30">
      <x:formula1>"Belum,PASS,FAIL,PARTIAL"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25"/>
  <x:cols>
    <x:col min="1" max="1" width="18" customWidth="1"/>
    <x:col min="2" max="2" width="30" customWidth="1"/>
    <x:col min="3" max="3" width="28" customWidth="1"/>
    <x:col min="4" max="4" width="52" customWidth="1"/>
    <x:col min="5" max="5" width="22" customWidth="1"/>
  </x:cols>
  <x:sheetData>
    <x:row r="1" ht="18">
      <x:c r="A1" s="8" t="s">
        <x:v>329</x:v>
      </x:c>
      <x:c r="B1" s="8"/>
      <x:c r="C1" s="8"/>
      <x:c r="D1" s="8"/>
      <x:c r="E1" s="8"/>
    </x:row>
    <x:row r="3" ht="15">
      <x:c r="A3" s="16" t="s">
        <x:v>330</x:v>
      </x:c>
      <x:c r="B3" s="16" t="s">
        <x:v>331</x:v>
      </x:c>
      <x:c r="C3" s="16" t="s">
        <x:v>332</x:v>
      </x:c>
      <x:c r="D3" s="16" t="s">
        <x:v>333</x:v>
      </x:c>
      <x:c r="E3" s="16" t="s">
        <x:v>334</x:v>
      </x:c>
    </x:row>
    <x:row r="4" ht="33.95000076293945" customHeight="1">
      <x:c r="A4" s="11" t="s">
        <x:v>335</x:v>
      </x:c>
      <x:c r="B4" s="11" t="s">
        <x:v>336</x:v>
      </x:c>
      <x:c r="C4" s="11" t="s">
        <x:v>337</x:v>
      </x:c>
      <x:c r="D4" s="11" t="s">
        <x:v>338</x:v>
      </x:c>
      <x:c r="E4" s="11" t="s">
        <x:v>30</x:v>
      </x:c>
    </x:row>
    <x:row r="5" ht="33.95000076293945" customHeight="1">
      <x:c r="A5" s="11" t="s">
        <x:v>339</x:v>
      </x:c>
      <x:c r="B5" s="11" t="s">
        <x:v>340</x:v>
      </x:c>
      <x:c r="C5" s="11" t="s">
        <x:v>341</x:v>
      </x:c>
      <x:c r="D5" s="11" t="s">
        <x:v>342</x:v>
      </x:c>
      <x:c r="E5" s="11" t="s">
        <x:v>207</x:v>
      </x:c>
    </x:row>
    <x:row r="6" ht="33.95000076293945" customHeight="1">
      <x:c r="A6" s="11" t="s">
        <x:v>343</x:v>
      </x:c>
      <x:c r="B6" s="11" t="s">
        <x:v>344</x:v>
      </x:c>
      <x:c r="C6" s="11" t="s">
        <x:v>345</x:v>
      </x:c>
      <x:c r="D6" s="11" t="s">
        <x:v>346</x:v>
      </x:c>
      <x:c r="E6" s="11" t="s">
        <x:v>230</x:v>
      </x:c>
    </x:row>
    <x:row r="7" ht="33.95000076293945" customHeight="1">
      <x:c r="A7" s="11" t="s">
        <x:v>347</x:v>
      </x:c>
      <x:c r="B7" s="11" t="s">
        <x:v>348</x:v>
      </x:c>
      <x:c r="C7" s="11" t="s">
        <x:v>349</x:v>
      </x:c>
      <x:c r="D7" s="11" t="s">
        <x:v>350</x:v>
      </x:c>
      <x:c r="E7" s="11" t="s">
        <x:v>238</x:v>
      </x:c>
    </x:row>
    <x:row r="8" ht="33.95000076293945" customHeight="1">
      <x:c r="A8" s="11" t="s">
        <x:v>351</x:v>
      </x:c>
      <x:c r="B8" s="11" t="s">
        <x:v>352</x:v>
      </x:c>
      <x:c r="C8" s="11" t="s">
        <x:v>353</x:v>
      </x:c>
      <x:c r="D8" s="11" t="s">
        <x:v>354</x:v>
      </x:c>
      <x:c r="E8" s="11" t="s">
        <x:v>246</x:v>
      </x:c>
    </x:row>
    <x:row r="9" ht="33.95000076293945" customHeight="1">
      <x:c r="A9" s="11" t="s">
        <x:v>355</x:v>
      </x:c>
      <x:c r="B9" s="11" t="s">
        <x:v>356</x:v>
      </x:c>
      <x:c r="C9" s="11" t="s">
        <x:v>357</x:v>
      </x:c>
      <x:c r="D9" s="11" t="s">
        <x:v>358</x:v>
      </x:c>
      <x:c r="E9" s="11" t="s">
        <x:v>254</x:v>
      </x:c>
    </x:row>
    <x:row r="10" ht="33.95000076293945" customHeight="1">
      <x:c r="A10" s="11" t="s">
        <x:v>359</x:v>
      </x:c>
      <x:c r="B10" s="11" t="s">
        <x:v>360</x:v>
      </x:c>
      <x:c r="C10" s="11" t="s">
        <x:v>361</x:v>
      </x:c>
      <x:c r="D10" s="11" t="s">
        <x:v>362</x:v>
      </x:c>
      <x:c r="E10" s="11" t="s">
        <x:v>262</x:v>
      </x:c>
    </x:row>
    <x:row r="11" ht="33.95000076293945" customHeight="1">
      <x:c r="A11" s="11" t="s">
        <x:v>363</x:v>
      </x:c>
      <x:c r="B11" s="11" t="s">
        <x:v>364</x:v>
      </x:c>
      <x:c r="C11" s="11" t="s">
        <x:v>365</x:v>
      </x:c>
      <x:c r="D11" s="11" t="s">
        <x:v>366</x:v>
      </x:c>
      <x:c r="E11" s="11" t="s">
        <x:v>270</x:v>
      </x:c>
    </x:row>
    <x:row r="12" ht="33.95000076293945" customHeight="1">
      <x:c r="A12" s="11" t="s">
        <x:v>367</x:v>
      </x:c>
      <x:c r="B12" s="11" t="s">
        <x:v>368</x:v>
      </x:c>
      <x:c r="C12" s="11" t="s">
        <x:v>369</x:v>
      </x:c>
      <x:c r="D12" s="11" t="s">
        <x:v>370</x:v>
      </x:c>
      <x:c r="E12" s="11" t="s">
        <x:v>371</x:v>
      </x:c>
    </x:row>
    <x:row r="13" ht="33.95000076293945" customHeight="1">
      <x:c r="A13" s="11" t="s">
        <x:v>372</x:v>
      </x:c>
      <x:c r="B13" s="11" t="s">
        <x:v>373</x:v>
      </x:c>
      <x:c r="C13" s="11" t="s">
        <x:v>374</x:v>
      </x:c>
      <x:c r="D13" s="11" t="s">
        <x:v>375</x:v>
      </x:c>
      <x:c r="E13" s="11" t="s">
        <x:v>293</x:v>
      </x:c>
    </x:row>
    <x:row r="14" ht="33.95000076293945" customHeight="1">
      <x:c r="A14" s="11" t="s">
        <x:v>376</x:v>
      </x:c>
      <x:c r="B14" s="11" t="s">
        <x:v>377</x:v>
      </x:c>
      <x:c r="C14" s="11" t="s">
        <x:v>315</x:v>
      </x:c>
      <x:c r="D14" s="11" t="s">
        <x:v>378</x:v>
      </x:c>
      <x:c r="E14" s="11" t="s">
        <x:v>314</x:v>
      </x:c>
    </x:row>
    <x:row r="15" ht="33.95000076293945" customHeight="1">
      <x:c r="A15" s="11" t="s">
        <x:v>379</x:v>
      </x:c>
      <x:c r="B15" s="11" t="s">
        <x:v>380</x:v>
      </x:c>
      <x:c r="C15" s="11" t="s">
        <x:v>381</x:v>
      </x:c>
      <x:c r="D15" s="11" t="s">
        <x:v>382</x:v>
      </x:c>
      <x:c r="E15" s="11" t="s">
        <x:v>321</x:v>
      </x:c>
    </x:row>
    <x:row r="16" ht="33.95000076293945" customHeight="1">
      <x:c r="A16" s="11" t="s">
        <x:v>383</x:v>
      </x:c>
      <x:c r="B16" s="11" t="s">
        <x:v>384</x:v>
      </x:c>
      <x:c r="C16" s="11" t="s">
        <x:v>385</x:v>
      </x:c>
      <x:c r="D16" s="11" t="s">
        <x:v>386</x:v>
      </x:c>
      <x:c r="E16" s="11" t="s">
        <x:v>152</x:v>
      </x:c>
    </x:row>
    <x:row r="17" ht="33.95000076293945" customHeight="1">
      <x:c r="A17" s="11" t="s">
        <x:v>387</x:v>
      </x:c>
      <x:c r="B17" s="11" t="s">
        <x:v>387</x:v>
      </x:c>
      <x:c r="C17" s="11" t="s">
        <x:v>388</x:v>
      </x:c>
      <x:c r="D17" s="11" t="s">
        <x:v>389</x:v>
      </x:c>
      <x:c r="E17" s="11" t="s">
        <x:v>159</x:v>
      </x:c>
    </x:row>
    <x:row r="18" ht="33.95000076293945" customHeight="1">
      <x:c r="A18" s="11" t="s">
        <x:v>390</x:v>
      </x:c>
      <x:c r="B18" s="11" t="s">
        <x:v>391</x:v>
      </x:c>
      <x:c r="C18" s="11" t="s">
        <x:v>392</x:v>
      </x:c>
      <x:c r="D18" s="11" t="s">
        <x:v>393</x:v>
      </x:c>
      <x:c r="E18" s="11" t="s">
        <x:v>166</x:v>
      </x:c>
    </x:row>
    <x:row r="19" ht="33.95000076293945" customHeight="1">
      <x:c r="A19" s="11" t="s">
        <x:v>394</x:v>
      </x:c>
      <x:c r="B19" s="11" t="s">
        <x:v>394</x:v>
      </x:c>
      <x:c r="C19" s="11" t="s">
        <x:v>395</x:v>
      </x:c>
      <x:c r="D19" s="11" t="s">
        <x:v>396</x:v>
      </x:c>
      <x:c r="E19" s="11" t="s">
        <x:v>173</x:v>
      </x:c>
    </x:row>
    <x:row r="20" ht="33.95000076293945" customHeight="1">
      <x:c r="A20" s="11" t="s">
        <x:v>397</x:v>
      </x:c>
      <x:c r="B20" s="11" t="s">
        <x:v>398</x:v>
      </x:c>
      <x:c r="C20" s="11" t="s">
        <x:v>397</x:v>
      </x:c>
      <x:c r="D20" s="11" t="s">
        <x:v>399</x:v>
      </x:c>
      <x:c r="E20" s="11" t="s">
        <x:v>180</x:v>
      </x:c>
    </x:row>
    <x:row r="21" ht="33.95000076293945" customHeight="1">
      <x:c r="A21" s="11" t="s">
        <x:v>216</x:v>
      </x:c>
      <x:c r="B21" s="11" t="s">
        <x:v>216</x:v>
      </x:c>
      <x:c r="C21" s="11" t="s">
        <x:v>400</x:v>
      </x:c>
      <x:c r="D21" s="11" t="s">
        <x:v>401</x:v>
      </x:c>
      <x:c r="E21" s="11" t="s">
        <x:v>215</x:v>
      </x:c>
    </x:row>
    <x:row r="22" ht="33.95000076293945" customHeight="1">
      <x:c r="A22" s="11" t="s">
        <x:v>223</x:v>
      </x:c>
      <x:c r="B22" s="11" t="s">
        <x:v>223</x:v>
      </x:c>
      <x:c r="C22" s="11" t="s">
        <x:v>402</x:v>
      </x:c>
      <x:c r="D22" s="11" t="s">
        <x:v>403</x:v>
      </x:c>
      <x:c r="E22" s="11" t="s">
        <x:v>222</x:v>
      </x:c>
    </x:row>
    <x:row r="23" ht="33.95000076293945" customHeight="1">
      <x:c r="A23" s="11" t="s">
        <x:v>239</x:v>
      </x:c>
      <x:c r="B23" s="11" t="s">
        <x:v>404</x:v>
      </x:c>
      <x:c r="C23" s="11" t="s">
        <x:v>405</x:v>
      </x:c>
      <x:c r="D23" s="11" t="s">
        <x:v>406</x:v>
      </x:c>
      <x:c r="E23" s="11" t="s">
        <x:v>238</x:v>
      </x:c>
    </x:row>
    <x:row r="24" ht="33.95000076293945" customHeight="1">
      <x:c r="A24" s="11" t="s">
        <x:v>407</x:v>
      </x:c>
      <x:c r="B24" s="11" t="s">
        <x:v>408</x:v>
      </x:c>
      <x:c r="C24" s="11" t="s">
        <x:v>409</x:v>
      </x:c>
      <x:c r="D24" s="11" t="s">
        <x:v>410</x:v>
      </x:c>
      <x:c r="E24" s="11" t="s">
        <x:v>230</x:v>
      </x:c>
    </x:row>
    <x:row r="25" ht="33.95000076293945" customHeight="1">
      <x:c r="A25" s="11" t="s">
        <x:v>411</x:v>
      </x:c>
      <x:c r="B25" s="11" t="s">
        <x:v>412</x:v>
      </x:c>
      <x:c r="C25" s="11" t="s">
        <x:v>413</x:v>
      </x:c>
      <x:c r="D25" s="11" t="s">
        <x:v>414</x:v>
      </x:c>
      <x:c r="E25" s="11" t="s">
        <x:v>238</x:v>
      </x:c>
    </x:row>
    <x:row r="26" ht="33.95000076293945" customHeight="1">
      <x:c r="A26" s="11" t="s">
        <x:v>415</x:v>
      </x:c>
      <x:c r="B26" s="11" t="s">
        <x:v>415</x:v>
      </x:c>
      <x:c r="C26" s="11" t="s">
        <x:v>416</x:v>
      </x:c>
      <x:c r="D26" s="11" t="s">
        <x:v>417</x:v>
      </x:c>
      <x:c r="E26" s="11" t="s">
        <x:v>308</x:v>
      </x:c>
    </x:row>
    <x:row r="27" ht="33.95000076293945" customHeight="1">
      <x:c r="A27" s="11" t="s">
        <x:v>418</x:v>
      </x:c>
      <x:c r="B27" s="11" t="s">
        <x:v>419</x:v>
      </x:c>
      <x:c r="C27" s="11" t="s">
        <x:v>420</x:v>
      </x:c>
      <x:c r="D27" s="11" t="s">
        <x:v>421</x:v>
      </x:c>
      <x:c r="E27" s="11" t="s">
        <x:v>159</x:v>
      </x:c>
    </x:row>
    <x:row r="28" ht="33.95000076293945" customHeight="1">
      <x:c r="A28" s="11" t="s">
        <x:v>422</x:v>
      </x:c>
      <x:c r="B28" s="11" t="s">
        <x:v>423</x:v>
      </x:c>
      <x:c r="C28" s="11" t="s">
        <x:v>424</x:v>
      </x:c>
      <x:c r="D28" s="11" t="s">
        <x:v>425</x:v>
      </x:c>
      <x:c r="E28" s="11" t="s">
        <x:v>166</x:v>
      </x:c>
    </x:row>
    <x:row r="29" ht="33.95000076293945" customHeight="1">
      <x:c r="A29" s="11" t="s">
        <x:v>426</x:v>
      </x:c>
      <x:c r="B29" s="11" t="s">
        <x:v>426</x:v>
      </x:c>
      <x:c r="C29" s="11" t="s">
        <x:v>427</x:v>
      </x:c>
      <x:c r="D29" s="11" t="s">
        <x:v>428</x:v>
      </x:c>
      <x:c r="E29" s="11" t="s">
        <x:v>270</x:v>
      </x:c>
    </x:row>
    <x:row r="30" ht="33.95000076293945" customHeight="1">
      <x:c r="A30" s="11" t="s">
        <x:v>429</x:v>
      </x:c>
      <x:c r="B30" s="11" t="s">
        <x:v>429</x:v>
      </x:c>
      <x:c r="C30" s="11" t="s">
        <x:v>430</x:v>
      </x:c>
      <x:c r="D30" s="11" t="s">
        <x:v>431</x:v>
      </x:c>
      <x:c r="E30" s="11" t="s">
        <x:v>301</x:v>
      </x:c>
    </x:row>
    <x:row r="31" ht="33.95000076293945" customHeight="1">
      <x:c r="A31" s="11" t="s">
        <x:v>432</x:v>
      </x:c>
      <x:c r="B31" s="11" t="s">
        <x:v>432</x:v>
      </x:c>
      <x:c r="C31" s="11" t="s">
        <x:v>433</x:v>
      </x:c>
      <x:c r="D31" s="11" t="s">
        <x:v>434</x:v>
      </x:c>
      <x:c r="E31" s="11" t="s">
        <x:v>293</x:v>
      </x:c>
    </x:row>
    <x:row r="32" ht="33.95000076293945" customHeight="1">
      <x:c r="A32" s="11" t="s">
        <x:v>435</x:v>
      </x:c>
      <x:c r="B32" s="11" t="s">
        <x:v>436</x:v>
      </x:c>
      <x:c r="C32" s="11" t="s">
        <x:v>437</x:v>
      </x:c>
      <x:c r="D32" s="11" t="s">
        <x:v>438</x:v>
      </x:c>
      <x:c r="E32" s="11" t="s">
        <x:v>286</x:v>
      </x:c>
    </x:row>
    <x:row r="33" ht="33.95000076293945" customHeight="1">
      <x:c r="A33" s="11" t="s">
        <x:v>439</x:v>
      </x:c>
      <x:c r="B33" s="11" t="s">
        <x:v>439</x:v>
      </x:c>
      <x:c r="C33" s="11" t="s">
        <x:v>440</x:v>
      </x:c>
      <x:c r="D33" s="11" t="s">
        <x:v>441</x:v>
      </x:c>
      <x:c r="E33" s="11" t="s">
        <x:v>278</x:v>
      </x:c>
    </x:row>
    <x:row r="34" ht="33.95000076293945" customHeight="1">
      <x:c r="A34" s="11" t="s">
        <x:v>442</x:v>
      </x:c>
      <x:c r="B34" s="11" t="s">
        <x:v>443</x:v>
      </x:c>
      <x:c r="C34" s="11" t="s">
        <x:v>444</x:v>
      </x:c>
      <x:c r="D34" s="11" t="s">
        <x:v>445</x:v>
      </x:c>
      <x:c r="E34" s="11" t="s">
        <x:v>207</x:v>
      </x:c>
    </x:row>
    <x:row r="35">
      <x:c r="A35" s="57" t="str">
        <x:v>CAL</x:v>
      </x:c>
      <x:c r="B35" s="57" t="str">
        <x:v>Calibration</x:v>
      </x:c>
      <x:c r="C35" s="57" t="str">
        <x:v>Kalibrasi koordinat</x:v>
      </x:c>
      <x:c r="D35" s="57" t="str">
        <x:v>Memeriksa kesesuaian koordinat hasil vision dengan posisi fisik di konveyor.</x:v>
      </x:c>
      <x:c r="E35" s="57" t="str">
        <x:v>CAL-01 / RC-26</x:v>
      </x:c>
    </x:row>
    <x:row r="36">
      <x:c r="A36" s="57" t="str">
        <x:v>VAC</x:v>
      </x:c>
      <x:c r="B36" s="57" t="str">
        <x:v>Vacuum</x:v>
      </x:c>
      <x:c r="C36" s="57" t="str">
        <x:v>Pengujian vakum</x:v>
      </x:c>
      <x:c r="D36" s="57" t="str">
        <x:v>Memeriksa pickup, hold, transfer, dan release vacuum suction.</x:v>
      </x:c>
      <x:c r="E36" s="57" t="str">
        <x:v>VAC-01 / RC-27</x:v>
      </x:c>
    </x:row>
    <x:row r="37">
      <x:c r="A37" s="57" t="str">
        <x:v>GATE</x:v>
      </x:c>
      <x:c r="B37" s="57" t="str">
        <x:v>Pre-realcase gate</x:v>
      </x:c>
      <x:c r="C37" s="57" t="str">
        <x:v>Gerbang kesiapan</x:v>
      </x:c>
      <x:c r="D37" s="57" t="str">
        <x:v>Sekumpulan verifikasi software/firmware yang harus PASS sebelum full hardware real-case.</x:v>
      </x:c>
      <x:c r="E37" s="57" t="str">
        <x:v>GATE-01 / RC-21–RC-25</x:v>
      </x:c>
    </x:row>
    <x:row r="38">
      <x:c r="A38" s="57" t="str">
        <x:v>Null</x:v>
      </x:c>
      <x:c r="B38" s="57" t="str">
        <x:v>No Object</x:v>
      </x:c>
      <x:c r="C38" s="57" t="str">
        <x:v>Tidak ada objek</x:v>
      </x:c>
      <x:c r="D38" s="57" t="str">
        <x:v>Belt kosong; pada object detection tidak diberi bounding box.</x:v>
      </x:c>
      <x:c r="E38" s="57" t="str">
        <x:v>RC-07 / INT-03</x:v>
      </x:c>
    </x:row>
    <x:row r="39">
      <x:c r="A39" s="57" t="str">
        <x:v>Retest</x:v>
      </x:c>
      <x:c r="B39" s="57" t="str">
        <x:v>Retest</x:v>
      </x:c>
      <x:c r="C39" s="57" t="str">
        <x:v>Uji ulang</x:v>
      </x:c>
      <x:c r="D39" s="57" t="str">
        <x:v>Pengulangan test case yang sama setelah dilakukan perbaikan.</x:v>
      </x:c>
      <x:c r="E39" s="57" t="str">
        <x:v>FAIL-01</x:v>
      </x:c>
    </x:row>
    <x:row r="40">
      <x:c r="A40" s="57" t="str">
        <x:v>Failure stage</x:v>
      </x:c>
      <x:c r="B40" s="57" t="str">
        <x:v>Failure stage</x:v>
      </x:c>
      <x:c r="C40" s="57" t="str">
        <x:v>Tahap kegagalan</x:v>
      </x:c>
      <x:c r="D40" s="57" t="str">
        <x:v>Menunjukkan di bagian mana satu siklus gagal.</x:v>
      </x:c>
      <x:c r="E40" s="57" t="str">
        <x:v>Log_Hasil / Failure_Log</x:v>
      </x:c>
    </x:row>
    <x:row r="41">
      <x:c r="A41" s="57" t="str">
        <x:v>Pixel-to-mm</x:v>
      </x:c>
      <x:c r="B41" s="57" t="str">
        <x:v>Camera calibration</x:v>
      </x:c>
      <x:c r="C41" s="57" t="str">
        <x:v>Konversi pixel ke mm</x:v>
      </x:c>
      <x:c r="D41" s="57" t="str">
        <x:v>Mapping posisi citra menjadi posisi fisik untuk target manipulator.</x:v>
      </x:c>
      <x:c r="E41" s="57" t="str">
        <x:v>CAL-01</x:v>
      </x:c>
    </x:row>
    <x:row r="42">
      <x:c r="A42" s="57" t="str">
        <x:v>Actual class</x:v>
      </x:c>
      <x:c r="B42" s="57" t="str">
        <x:v>Ground truth class</x:v>
      </x:c>
      <x:c r="C42" s="57" t="str">
        <x:v>Kelas sebenarnya</x:v>
      </x:c>
      <x:c r="D42" s="57" t="str">
        <x:v>Kondisi kelas yang memang diberikan pada benda saat test.</x:v>
      </x:c>
      <x:c r="E42" s="57" t="str">
        <x:v>Log_Hasil</x:v>
      </x:c>
    </x:row>
    <x:row r="43">
      <x:c r="A43" s="57" t="str">
        <x:v>Predicted class</x:v>
      </x:c>
      <x:c r="B43" s="57" t="str">
        <x:v>Predicted class</x:v>
      </x:c>
      <x:c r="C43" s="57" t="str">
        <x:v>Kelas hasil model</x:v>
      </x:c>
      <x:c r="D43" s="57" t="str">
        <x:v>Kelas yang diprediksi sistem untuk dibandingkan dengan actual class.</x:v>
      </x:c>
      <x:c r="E43" s="57" t="str">
        <x:v>Log_Hasil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9" hidden="0" customWidth="1"/>
    <x:col min="5" max="5" width="18" hidden="0" customWidth="1"/>
    <x:col min="6" max="6" width="34" hidden="0" customWidth="1"/>
    <x:col min="7" max="7" width="34" hidden="0" customWidth="1"/>
    <x:col min="8" max="8" width="36" hidden="0" customWidth="1"/>
    <x:col min="9" max="9" width="12" hidden="0" customWidth="1"/>
    <x:col min="10" max="10" width="14" hidden="0" customWidth="1"/>
    <x:col min="11" max="11" width="24" hidden="0" customWidth="1"/>
    <x:col min="12" max="12" width="12" hidden="0" customWidth="1"/>
  </x:cols>
  <x:sheetData>
    <x:row r="1">
      <x:c r="A1" s="135" t="str">
        <x:v>Failure ID</x:v>
      </x:c>
      <x:c r="B1" s="135" t="str">
        <x:v>Tanggal</x:v>
      </x:c>
      <x:c r="C1" s="135" t="str">
        <x:v>ID Skenario</x:v>
      </x:c>
      <x:c r="D1" s="135" t="str">
        <x:v>Run Ke-</x:v>
      </x:c>
      <x:c r="E1" s="135" t="str">
        <x:v>Failure Stage</x:v>
      </x:c>
      <x:c r="F1" s="135" t="str">
        <x:v>Gejala / Temuan</x:v>
      </x:c>
      <x:c r="G1" s="135" t="str">
        <x:v>Dugaan Penyebab</x:v>
      </x:c>
      <x:c r="H1" s="135" t="str">
        <x:v>Tindakan Perbaikan</x:v>
      </x:c>
      <x:c r="I1" s="135" t="str">
        <x:v>Retest ID</x:v>
      </x:c>
      <x:c r="J1" s="135" t="str">
        <x:v>Hasil Retest</x:v>
      </x:c>
      <x:c r="K1" s="135" t="str">
        <x:v>Bukti</x:v>
      </x:c>
      <x:c r="L1" s="135" t="str">
        <x:v>Status</x:v>
      </x:c>
    </x:row>
    <x:row r="2">
      <x:c r="A2" s="57" t="str">
        <x:v>F-001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3">
      <x:c r="A3" s="57" t="str">
        <x:v>F-002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7" t="str">
        <x:v>F-003</x:v>
      </x:c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</x:row>
    <x:row r="5">
      <x:c r="A5" s="57" t="str">
        <x:v>F-004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>
      <x:c r="A6" s="57" t="str">
        <x:v>F-005</x:v>
      </x:c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</x:row>
    <x:row r="7">
      <x:c r="A7" s="57" t="str">
        <x:v>F-006</x:v>
      </x:c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</x:row>
    <x:row r="8">
      <x:c r="A8" s="57" t="str">
        <x:v>F-007</x:v>
      </x:c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</x:row>
    <x:row r="9">
      <x:c r="A9" s="57" t="str">
        <x:v>F-008</x:v>
      </x:c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</x:row>
    <x:row r="10">
      <x:c r="A10" s="57" t="str">
        <x:v>F-009</x:v>
      </x:c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</x:row>
    <x:row r="11">
      <x:c r="A11" s="57" t="str">
        <x:v>F-010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</x:row>
    <x:row r="12">
      <x:c r="A12" s="57" t="str">
        <x:v>F-011</x:v>
      </x:c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</x:row>
    <x:row r="13">
      <x:c r="A13" s="57" t="str">
        <x:v>F-012</x:v>
      </x:c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</x:row>
    <x:row r="14">
      <x:c r="A14" s="57" t="str">
        <x:v>F-013</x:v>
      </x:c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</x:row>
    <x:row r="15">
      <x:c r="A15" s="57" t="str">
        <x:v>F-014</x:v>
      </x:c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</x:row>
    <x:row r="16">
      <x:c r="A16" s="57" t="str">
        <x:v>F-015</x:v>
      </x:c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</x:row>
    <x:row r="17">
      <x:c r="A17" s="57" t="str">
        <x:v>F-016</x:v>
      </x:c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</x:row>
    <x:row r="18">
      <x:c r="A18" s="57" t="str">
        <x:v>F-017</x:v>
      </x:c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</x:row>
    <x:row r="19">
      <x:c r="A19" s="57" t="str">
        <x:v>F-018</x:v>
      </x:c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</x:row>
    <x:row r="20">
      <x:c r="A20" s="57" t="str">
        <x:v>F-019</x:v>
      </x:c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</x:row>
    <x:row r="21">
      <x:c r="A21" s="57" t="str">
        <x:v>F-020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</x:row>
    <x:row r="22">
      <x:c r="A22" s="57" t="str">
        <x:v>F-021</x:v>
      </x:c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</x:row>
    <x:row r="23">
      <x:c r="A23" s="57" t="str">
        <x:v>F-022</x:v>
      </x:c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</x:row>
    <x:row r="24">
      <x:c r="A24" s="57" t="str">
        <x:v>F-023</x:v>
      </x:c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</x:row>
    <x:row r="25">
      <x:c r="A25" s="57" t="str">
        <x:v>F-024</x:v>
      </x:c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</x:row>
    <x:row r="26">
      <x:c r="A26" s="57" t="str">
        <x:v>F-025</x:v>
      </x:c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</x:row>
    <x:row r="27">
      <x:c r="A27" s="57" t="str">
        <x:v>F-026</x:v>
      </x:c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</x:row>
    <x:row r="28">
      <x:c r="A28" s="57" t="str">
        <x:v>F-027</x:v>
      </x:c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</x:row>
    <x:row r="29">
      <x:c r="A29" s="57" t="str">
        <x:v>F-028</x:v>
      </x:c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</x:row>
    <x:row r="30">
      <x:c r="A30" s="57" t="str">
        <x:v>F-029</x:v>
      </x:c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</x:row>
    <x:row r="31">
      <x:c r="A31" s="57" t="str">
        <x:v>F-030</x:v>
      </x:c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</x:row>
    <x:row r="32">
      <x:c r="A32" s="57" t="str">
        <x:v>F-031</x:v>
      </x:c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</x:row>
    <x:row r="33">
      <x:c r="A33" s="57" t="str">
        <x:v>F-032</x:v>
      </x:c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</x:row>
    <x:row r="34">
      <x:c r="A34" s="57" t="str">
        <x:v>F-033</x:v>
      </x:c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</x:row>
    <x:row r="35">
      <x:c r="A35" s="57" t="str">
        <x:v>F-034</x:v>
      </x:c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</x:row>
    <x:row r="36">
      <x:c r="A36" s="57" t="str">
        <x:v>F-035</x:v>
      </x:c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</x:row>
    <x:row r="37">
      <x:c r="A37" s="57" t="str">
        <x:v>F-036</x:v>
      </x:c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</x:row>
    <x:row r="38">
      <x:c r="A38" s="57" t="str">
        <x:v>F-037</x:v>
      </x:c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</x:row>
    <x:row r="39">
      <x:c r="A39" s="57" t="str">
        <x:v>F-038</x:v>
      </x:c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</x:row>
    <x:row r="40">
      <x:c r="A40" s="57" t="str">
        <x:v>F-039</x:v>
      </x:c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</x:row>
    <x:row r="41">
      <x:c r="A41" s="57" t="str">
        <x:v>F-040</x:v>
      </x:c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</x:row>
    <x:row r="42">
      <x:c r="A42" s="57" t="str">
        <x:v>F-041</x:v>
      </x:c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</x:row>
    <x:row r="43">
      <x:c r="A43" s="57" t="str">
        <x:v>F-042</x:v>
      </x:c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</x:row>
    <x:row r="44">
      <x:c r="A44" s="57" t="str">
        <x:v>F-043</x:v>
      </x:c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</x:row>
    <x:row r="45">
      <x:c r="A45" s="57" t="str">
        <x:v>F-044</x:v>
      </x:c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</x:row>
    <x:row r="46">
      <x:c r="A46" s="57" t="str">
        <x:v>F-045</x:v>
      </x:c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</x:row>
    <x:row r="47">
      <x:c r="A47" s="57" t="str">
        <x:v>F-046</x:v>
      </x:c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</x:row>
    <x:row r="48">
      <x:c r="A48" s="57" t="str">
        <x:v>F-047</x:v>
      </x:c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</x:row>
    <x:row r="49">
      <x:c r="A49" s="57" t="str">
        <x:v>F-048</x:v>
      </x:c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</x:row>
    <x:row r="50">
      <x:c r="A50" s="57" t="str">
        <x:v>F-049</x:v>
      </x:c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</x:row>
    <x:row r="51">
      <x:c r="A51" s="57" t="str">
        <x:v>F-050</x:v>
      </x:c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</x:row>
    <x:row r="52">
      <x:c r="A52" s="57" t="str">
        <x:v>F-051</x:v>
      </x:c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</x:row>
    <x:row r="53">
      <x:c r="A53" s="57" t="str">
        <x:v>F-052</x:v>
      </x:c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</x:row>
    <x:row r="54">
      <x:c r="A54" s="57" t="str">
        <x:v>F-053</x:v>
      </x:c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</x:row>
    <x:row r="55">
      <x:c r="A55" s="57" t="str">
        <x:v>F-054</x:v>
      </x:c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</x:row>
    <x:row r="56">
      <x:c r="A56" s="57" t="str">
        <x:v>F-055</x:v>
      </x:c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</x:row>
    <x:row r="57">
      <x:c r="A57" s="57" t="str">
        <x:v>F-056</x:v>
      </x:c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</x:row>
    <x:row r="58">
      <x:c r="A58" s="57" t="str">
        <x:v>F-057</x:v>
      </x:c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</x:row>
    <x:row r="59">
      <x:c r="A59" s="57" t="str">
        <x:v>F-058</x:v>
      </x:c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</x:row>
    <x:row r="60">
      <x:c r="A60" s="57" t="str">
        <x:v>F-059</x:v>
      </x:c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</x:row>
    <x:row r="61">
      <x:c r="A61" s="57" t="str">
        <x:v>F-060</x:v>
      </x:c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</x:row>
    <x:row r="62">
      <x:c r="A62" s="57" t="str">
        <x:v>F-061</x:v>
      </x:c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</x:row>
    <x:row r="63">
      <x:c r="A63" s="57" t="str">
        <x:v>F-062</x:v>
      </x:c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</x:row>
    <x:row r="64">
      <x:c r="A64" s="57" t="str">
        <x:v>F-063</x:v>
      </x:c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</x:row>
    <x:row r="65">
      <x:c r="A65" s="57" t="str">
        <x:v>F-064</x:v>
      </x:c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</x:row>
    <x:row r="66">
      <x:c r="A66" s="57" t="str">
        <x:v>F-065</x:v>
      </x:c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</x:row>
    <x:row r="67">
      <x:c r="A67" s="57" t="str">
        <x:v>F-066</x:v>
      </x:c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</x:row>
    <x:row r="68">
      <x:c r="A68" s="57" t="str">
        <x:v>F-067</x:v>
      </x:c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</x:row>
    <x:row r="69">
      <x:c r="A69" s="57" t="str">
        <x:v>F-068</x:v>
      </x:c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</x:row>
    <x:row r="70">
      <x:c r="A70" s="57" t="str">
        <x:v>F-069</x:v>
      </x:c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</x:row>
    <x:row r="71">
      <x:c r="A71" s="57" t="str">
        <x:v>F-070</x:v>
      </x:c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</x:row>
    <x:row r="72">
      <x:c r="A72" s="57" t="str">
        <x:v>F-071</x:v>
      </x:c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</x:row>
    <x:row r="73">
      <x:c r="A73" s="57" t="str">
        <x:v>F-072</x:v>
      </x:c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</x:row>
    <x:row r="74">
      <x:c r="A74" s="57" t="str">
        <x:v>F-073</x:v>
      </x:c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</x:row>
    <x:row r="75">
      <x:c r="A75" s="57" t="str">
        <x:v>F-074</x:v>
      </x:c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</x:row>
    <x:row r="76">
      <x:c r="A76" s="57" t="str">
        <x:v>F-075</x:v>
      </x:c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</x:row>
    <x:row r="77">
      <x:c r="A77" s="57" t="str">
        <x:v>F-076</x:v>
      </x:c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</x:row>
    <x:row r="78">
      <x:c r="A78" s="57" t="str">
        <x:v>F-077</x:v>
      </x:c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</x:row>
    <x:row r="79">
      <x:c r="A79" s="57" t="str">
        <x:v>F-078</x:v>
      </x:c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</x:row>
    <x:row r="80">
      <x:c r="A80" s="57" t="str">
        <x:v>F-079</x:v>
      </x:c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</x:row>
    <x:row r="81">
      <x:c r="A81" s="57" t="str">
        <x:v>F-080</x:v>
      </x:c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</x:row>
    <x:row r="82">
      <x:c r="A82" s="57" t="str">
        <x:v>F-081</x:v>
      </x:c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</x:row>
    <x:row r="83">
      <x:c r="A83" s="57" t="str">
        <x:v>F-082</x:v>
      </x:c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</x:row>
    <x:row r="84">
      <x:c r="A84" s="57" t="str">
        <x:v>F-083</x:v>
      </x:c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</x:row>
    <x:row r="85">
      <x:c r="A85" s="57" t="str">
        <x:v>F-084</x:v>
      </x:c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</x:row>
    <x:row r="86">
      <x:c r="A86" s="57" t="str">
        <x:v>F-085</x:v>
      </x:c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</x:row>
    <x:row r="87">
      <x:c r="A87" s="57" t="str">
        <x:v>F-086</x:v>
      </x:c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</x:row>
    <x:row r="88">
      <x:c r="A88" s="57" t="str">
        <x:v>F-087</x:v>
      </x:c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</x:row>
    <x:row r="89">
      <x:c r="A89" s="57" t="str">
        <x:v>F-088</x:v>
      </x:c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</x:row>
    <x:row r="90">
      <x:c r="A90" s="57" t="str">
        <x:v>F-089</x:v>
      </x:c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</x:row>
    <x:row r="91">
      <x:c r="A91" s="57" t="str">
        <x:v>F-090</x:v>
      </x:c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</x:row>
    <x:row r="92">
      <x:c r="A92" s="57" t="str">
        <x:v>F-091</x:v>
      </x:c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</x:row>
    <x:row r="93">
      <x:c r="A93" s="57" t="str">
        <x:v>F-092</x:v>
      </x:c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</x:row>
    <x:row r="94">
      <x:c r="A94" s="57" t="str">
        <x:v>F-093</x:v>
      </x:c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</x:row>
    <x:row r="95">
      <x:c r="A95" s="57" t="str">
        <x:v>F-094</x:v>
      </x:c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</x:row>
    <x:row r="96">
      <x:c r="A96" s="57" t="str">
        <x:v>F-095</x:v>
      </x:c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</x:row>
    <x:row r="97">
      <x:c r="A97" s="57" t="str">
        <x:v>F-096</x:v>
      </x:c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</x:row>
    <x:row r="98">
      <x:c r="A98" s="57" t="str">
        <x:v>F-097</x:v>
      </x:c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</x:row>
    <x:row r="99">
      <x:c r="A99" s="57" t="str">
        <x:v>F-098</x:v>
      </x:c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</x:row>
    <x:row r="100">
      <x:c r="A100" s="57" t="str">
        <x:v>F-099</x:v>
      </x:c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</x:row>
    <x:row r="101">
      <x:c r="A101" s="57" t="str">
        <x:v>F-100</x:v>
      </x:c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</x:row>
    <x:row r="102">
      <x:c r="A102" s="57" t="str">
        <x:v>F-101</x:v>
      </x:c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</x:row>
    <x:row r="103">
      <x:c r="A103" s="57" t="str">
        <x:v>F-102</x:v>
      </x:c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</x:row>
    <x:row r="104">
      <x:c r="A104" s="57" t="str">
        <x:v>F-103</x:v>
      </x:c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</x:row>
    <x:row r="105">
      <x:c r="A105" s="57" t="str">
        <x:v>F-104</x:v>
      </x:c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</x:row>
    <x:row r="106">
      <x:c r="A106" s="57" t="str">
        <x:v>F-105</x:v>
      </x:c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</x:row>
    <x:row r="107">
      <x:c r="A107" s="57" t="str">
        <x:v>F-106</x:v>
      </x:c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</x:row>
    <x:row r="108">
      <x:c r="A108" s="57" t="str">
        <x:v>F-107</x:v>
      </x:c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</x:row>
    <x:row r="109">
      <x:c r="A109" s="57" t="str">
        <x:v>F-108</x:v>
      </x:c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</x:row>
    <x:row r="110">
      <x:c r="A110" s="57" t="str">
        <x:v>F-109</x:v>
      </x:c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</x:row>
    <x:row r="111">
      <x:c r="A111" s="57" t="str">
        <x:v>F-110</x:v>
      </x:c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</x:row>
    <x:row r="112">
      <x:c r="A112" s="57" t="str">
        <x:v>F-111</x:v>
      </x:c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</x:row>
    <x:row r="113">
      <x:c r="A113" s="57" t="str">
        <x:v>F-112</x:v>
      </x:c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</x:row>
    <x:row r="114">
      <x:c r="A114" s="57" t="str">
        <x:v>F-113</x:v>
      </x:c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</x:row>
    <x:row r="115">
      <x:c r="A115" s="57" t="str">
        <x:v>F-114</x:v>
      </x:c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</x:row>
    <x:row r="116">
      <x:c r="A116" s="57" t="str">
        <x:v>F-115</x:v>
      </x:c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</x:row>
    <x:row r="117">
      <x:c r="A117" s="57" t="str">
        <x:v>F-116</x:v>
      </x:c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</x:row>
    <x:row r="118">
      <x:c r="A118" s="57" t="str">
        <x:v>F-117</x:v>
      </x:c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</x:row>
    <x:row r="119">
      <x:c r="A119" s="57" t="str">
        <x:v>F-118</x:v>
      </x:c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</x:row>
    <x:row r="120">
      <x:c r="A120" s="57" t="str">
        <x:v>F-119</x:v>
      </x:c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</x:row>
    <x:row r="121">
      <x:c r="A121" s="57" t="str">
        <x:v>F-120</x:v>
      </x:c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</x:row>
    <x:row r="122">
      <x:c r="A122" s="57" t="str">
        <x:v>F-121</x:v>
      </x:c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</x:row>
    <x:row r="123">
      <x:c r="A123" s="57" t="str">
        <x:v>F-122</x:v>
      </x:c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</x:row>
    <x:row r="124">
      <x:c r="A124" s="57" t="str">
        <x:v>F-123</x:v>
      </x:c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</x:row>
    <x:row r="125">
      <x:c r="A125" s="57" t="str">
        <x:v>F-124</x:v>
      </x:c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</x:row>
    <x:row r="126">
      <x:c r="A126" s="57" t="str">
        <x:v>F-125</x:v>
      </x:c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</x:row>
    <x:row r="127">
      <x:c r="A127" s="57" t="str">
        <x:v>F-126</x:v>
      </x:c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</x:row>
    <x:row r="128">
      <x:c r="A128" s="57" t="str">
        <x:v>F-127</x:v>
      </x:c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</x:row>
    <x:row r="129">
      <x:c r="A129" s="57" t="str">
        <x:v>F-128</x:v>
      </x:c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</x:row>
    <x:row r="130">
      <x:c r="A130" s="57" t="str">
        <x:v>F-129</x:v>
      </x:c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</x:row>
    <x:row r="131">
      <x:c r="A131" s="57" t="str">
        <x:v>F-130</x:v>
      </x:c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</x:row>
    <x:row r="132">
      <x:c r="A132" s="57" t="str">
        <x:v>F-131</x:v>
      </x:c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</x:row>
    <x:row r="133">
      <x:c r="A133" s="57" t="str">
        <x:v>F-132</x:v>
      </x:c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</x:row>
    <x:row r="134">
      <x:c r="A134" s="57" t="str">
        <x:v>F-133</x:v>
      </x:c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</x:row>
    <x:row r="135">
      <x:c r="A135" s="57" t="str">
        <x:v>F-134</x:v>
      </x:c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</x:row>
    <x:row r="136">
      <x:c r="A136" s="57" t="str">
        <x:v>F-135</x:v>
      </x:c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</x:row>
    <x:row r="137">
      <x:c r="A137" s="57" t="str">
        <x:v>F-136</x:v>
      </x:c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</x:row>
    <x:row r="138">
      <x:c r="A138" s="57" t="str">
        <x:v>F-137</x:v>
      </x:c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</x:row>
    <x:row r="139">
      <x:c r="A139" s="57" t="str">
        <x:v>F-138</x:v>
      </x:c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</x:row>
    <x:row r="140">
      <x:c r="A140" s="57" t="str">
        <x:v>F-139</x:v>
      </x:c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</x:row>
    <x:row r="141">
      <x:c r="A141" s="57" t="str">
        <x:v>F-140</x:v>
      </x:c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</x:row>
    <x:row r="142">
      <x:c r="A142" s="57" t="str">
        <x:v>F-141</x:v>
      </x:c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</x:row>
    <x:row r="143">
      <x:c r="A143" s="57" t="str">
        <x:v>F-142</x:v>
      </x:c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</x:row>
    <x:row r="144">
      <x:c r="A144" s="57" t="str">
        <x:v>F-143</x:v>
      </x:c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</x:row>
    <x:row r="145">
      <x:c r="A145" s="57" t="str">
        <x:v>F-144</x:v>
      </x:c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</x:row>
    <x:row r="146">
      <x:c r="A146" s="57" t="str">
        <x:v>F-145</x:v>
      </x:c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</x:row>
    <x:row r="147">
      <x:c r="A147" s="57" t="str">
        <x:v>F-146</x:v>
      </x:c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</x:row>
    <x:row r="148">
      <x:c r="A148" s="57" t="str">
        <x:v>F-147</x:v>
      </x:c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</x:row>
    <x:row r="149">
      <x:c r="A149" s="57" t="str">
        <x:v>F-148</x:v>
      </x:c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</x:row>
    <x:row r="150">
      <x:c r="A150" s="57" t="str">
        <x:v>F-149</x:v>
      </x:c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</x:row>
    <x:row r="151">
      <x:c r="A151" s="57" t="str">
        <x:v>F-150</x:v>
      </x:c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</x:row>
    <x:row r="152">
      <x:c r="A152" s="57" t="str">
        <x:v>F-151</x:v>
      </x:c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</x:row>
    <x:row r="153">
      <x:c r="A153" s="57" t="str">
        <x:v>F-152</x:v>
      </x:c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</x:row>
    <x:row r="154">
      <x:c r="A154" s="57" t="str">
        <x:v>F-153</x:v>
      </x:c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</x:row>
    <x:row r="155">
      <x:c r="A155" s="57" t="str">
        <x:v>F-154</x:v>
      </x:c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</x:row>
    <x:row r="156">
      <x:c r="A156" s="57" t="str">
        <x:v>F-155</x:v>
      </x:c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</x:row>
    <x:row r="157">
      <x:c r="A157" s="57" t="str">
        <x:v>F-156</x:v>
      </x:c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</x:row>
    <x:row r="158">
      <x:c r="A158" s="57" t="str">
        <x:v>F-157</x:v>
      </x:c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</x:row>
    <x:row r="159">
      <x:c r="A159" s="57" t="str">
        <x:v>F-158</x:v>
      </x:c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</x:row>
    <x:row r="160">
      <x:c r="A160" s="57" t="str">
        <x:v>F-159</x:v>
      </x:c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</x:row>
    <x:row r="161">
      <x:c r="A161" s="57" t="str">
        <x:v>F-160</x:v>
      </x:c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</x:row>
    <x:row r="162">
      <x:c r="A162" s="57" t="str">
        <x:v>F-161</x:v>
      </x:c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</x:row>
    <x:row r="163">
      <x:c r="A163" s="57" t="str">
        <x:v>F-162</x:v>
      </x:c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</x:row>
    <x:row r="164">
      <x:c r="A164" s="57" t="str">
        <x:v>F-163</x:v>
      </x:c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</x:row>
    <x:row r="165">
      <x:c r="A165" s="57" t="str">
        <x:v>F-164</x:v>
      </x:c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</x:row>
    <x:row r="166">
      <x:c r="A166" s="57" t="str">
        <x:v>F-165</x:v>
      </x:c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</x:row>
    <x:row r="167">
      <x:c r="A167" s="57" t="str">
        <x:v>F-166</x:v>
      </x:c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</x:row>
    <x:row r="168">
      <x:c r="A168" s="57" t="str">
        <x:v>F-167</x:v>
      </x:c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</x:row>
    <x:row r="169">
      <x:c r="A169" s="57" t="str">
        <x:v>F-168</x:v>
      </x:c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</x:row>
    <x:row r="170">
      <x:c r="A170" s="57" t="str">
        <x:v>F-169</x:v>
      </x:c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</x:row>
    <x:row r="171">
      <x:c r="A171" s="57" t="str">
        <x:v>F-170</x:v>
      </x:c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</x:row>
    <x:row r="172">
      <x:c r="A172" s="57" t="str">
        <x:v>F-171</x:v>
      </x:c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</x:row>
    <x:row r="173">
      <x:c r="A173" s="57" t="str">
        <x:v>F-172</x:v>
      </x:c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</x:row>
    <x:row r="174">
      <x:c r="A174" s="57" t="str">
        <x:v>F-173</x:v>
      </x:c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</x:row>
    <x:row r="175">
      <x:c r="A175" s="57" t="str">
        <x:v>F-174</x:v>
      </x:c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</x:row>
    <x:row r="176">
      <x:c r="A176" s="57" t="str">
        <x:v>F-175</x:v>
      </x:c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</x:row>
    <x:row r="177">
      <x:c r="A177" s="57" t="str">
        <x:v>F-176</x:v>
      </x:c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</x:row>
    <x:row r="178">
      <x:c r="A178" s="57" t="str">
        <x:v>F-177</x:v>
      </x:c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</x:row>
    <x:row r="179">
      <x:c r="A179" s="57" t="str">
        <x:v>F-178</x:v>
      </x:c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</x:row>
    <x:row r="180">
      <x:c r="A180" s="57" t="str">
        <x:v>F-179</x:v>
      </x:c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</x:row>
    <x:row r="181">
      <x:c r="A181" s="57" t="str">
        <x:v>F-180</x:v>
      </x:c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</x:row>
    <x:row r="182">
      <x:c r="A182" s="57" t="str">
        <x:v>F-181</x:v>
      </x:c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</x:row>
    <x:row r="183">
      <x:c r="A183" s="57" t="str">
        <x:v>F-182</x:v>
      </x:c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</x:row>
    <x:row r="184">
      <x:c r="A184" s="57" t="str">
        <x:v>F-183</x:v>
      </x:c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</x:row>
    <x:row r="185">
      <x:c r="A185" s="57" t="str">
        <x:v>F-184</x:v>
      </x:c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</x:row>
    <x:row r="186">
      <x:c r="A186" s="57" t="str">
        <x:v>F-185</x:v>
      </x:c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</x:row>
    <x:row r="187">
      <x:c r="A187" s="57" t="str">
        <x:v>F-186</x:v>
      </x:c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</x:row>
    <x:row r="188">
      <x:c r="A188" s="57" t="str">
        <x:v>F-187</x:v>
      </x:c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</x:row>
    <x:row r="189">
      <x:c r="A189" s="57" t="str">
        <x:v>F-188</x:v>
      </x:c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</x:row>
    <x:row r="190">
      <x:c r="A190" s="57" t="str">
        <x:v>F-189</x:v>
      </x:c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</x:row>
    <x:row r="191">
      <x:c r="A191" s="57" t="str">
        <x:v>F-190</x:v>
      </x:c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</x:row>
    <x:row r="192">
      <x:c r="A192" s="57" t="str">
        <x:v>F-191</x:v>
      </x:c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</x:row>
    <x:row r="193">
      <x:c r="A193" s="57" t="str">
        <x:v>F-192</x:v>
      </x:c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</x:row>
    <x:row r="194">
      <x:c r="A194" s="57" t="str">
        <x:v>F-193</x:v>
      </x:c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</x:row>
    <x:row r="195">
      <x:c r="A195" s="57" t="str">
        <x:v>F-194</x:v>
      </x:c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</x:row>
    <x:row r="196">
      <x:c r="A196" s="57" t="str">
        <x:v>F-195</x:v>
      </x:c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</x:row>
    <x:row r="197">
      <x:c r="A197" s="57" t="str">
        <x:v>F-196</x:v>
      </x:c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</x:row>
    <x:row r="198">
      <x:c r="A198" s="57" t="str">
        <x:v>F-197</x:v>
      </x:c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</x:row>
    <x:row r="199">
      <x:c r="A199" s="57" t="str">
        <x:v>F-198</x:v>
      </x:c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</x:row>
    <x:row r="200">
      <x:c r="A200" s="57" t="str">
        <x:v>F-199</x:v>
      </x:c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</x:row>
    <x:row r="201">
      <x:c r="A201" s="57" t="str">
        <x:v>F-200</x:v>
      </x:c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</x:row>
  </x:sheetData>
  <x:dataValidations count="3">
    <x:dataValidation type="list" sqref="E2:E201">
      <x:formula1>"Vision,Tracking,Telemetry/UART,PLC/Modbus,Manipulator,Vacuum,Reorientasi,Placement,Resume,Safety,Other"</x:formula1>
    </x:dataValidation>
    <x:dataValidation type="list" sqref="J2:J201">
      <x:formula1>"Belum Retest,PASS,FAIL,PARTIAL"</x:formula1>
    </x:dataValidation>
    <x:dataValidation type="list" sqref="L2:L201">
      <x:formula1>"Open,Monitoring,Closed"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8" hidden="0" customWidth="1"/>
    <x:col min="4" max="4" width="28" hidden="0" customWidth="1"/>
    <x:col min="5" max="5" width="28" hidden="0" customWidth="1"/>
    <x:col min="6" max="6" width="12" hidden="0" customWidth="1"/>
    <x:col min="7" max="7" width="64" hidden="0" customWidth="1"/>
  </x:cols>
  <x:sheetData>
    <x:row r="1">
      <x:c r="A1" s="147" t="str">
        <x:v>Req ID</x:v>
      </x:c>
      <x:c r="B1" s="147" t="str">
        <x:v>Sumber</x:v>
      </x:c>
      <x:c r="C1" s="147" t="str">
        <x:v>Requirement / Acuan</x:v>
      </x:c>
      <x:c r="D1" s="147" t="str">
        <x:v>Test ID Terkait</x:v>
      </x:c>
      <x:c r="E1" s="147" t="str">
        <x:v>Bukti</x:v>
      </x:c>
      <x:c r="F1" s="147" t="str">
        <x:v>Status</x:v>
      </x:c>
      <x:c r="G1" s="147" t="str">
        <x:v>URL Sumber</x:v>
      </x:c>
    </x:row>
    <x:row r="2">
      <x:c r="A2" s="57" t="str">
        <x:v>P-01</x:v>
      </x:c>
      <x:c r="B2" s="57" t="str">
        <x:v>Proposal TA</x:v>
      </x:c>
      <x:c r="C2" s="57" t="str">
        <x:v>Kelayakan hasil akuisisi diperiksa terhadap seluruh citra.</x:v>
      </x:c>
      <x:c r="D2" s="57" t="str">
        <x:v>AQ-01</x:v>
      </x:c>
      <x:c r="E2" s="57" t="str">
        <x:v>Checklist + metadata</x:v>
      </x:c>
      <x:c r="F2" s="57" t="str">
        <x:v>Belum</x:v>
      </x:c>
      <x:c r="G2" s="57" t="str">
        <x:v>https://raw.githubusercontent.com/MorisSintong/XZ-Manipulator-Controls/main/VisionSystem/01_Dokumen_TA/TA_2026_extracted.txt</x:v>
      </x:c>
    </x:row>
    <x:row r="3">
      <x:c r="A3" s="57" t="str">
        <x:v>P-02</x:v>
      </x:c>
      <x:c r="B3" s="57" t="str">
        <x:v>Proposal TA</x:v>
      </x:c>
      <x:c r="C3" s="57" t="str">
        <x:v>Metadata dan penamaan file diperiksa terhadap seluruh citra.</x:v>
      </x:c>
      <x:c r="D3" s="57" t="str">
        <x:v>AQ-02</x:v>
      </x:c>
      <x:c r="E3" s="57" t="str">
        <x:v>Excel metadata</x:v>
      </x:c>
      <x:c r="F3" s="57" t="str">
        <x:v>Belum</x:v>
      </x:c>
      <x:c r="G3" s="57" t="str">
        <x:v>https://raw.githubusercontent.com/MorisSintong/XZ-Manipulator-Controls/main/VisionSystem/01_Dokumen_TA/TA_2026_extracted.txt</x:v>
      </x:c>
    </x:row>
    <x:row r="4">
      <x:c r="A4" s="57" t="str">
        <x:v>P-03</x:v>
      </x:c>
      <x:c r="B4" s="57" t="str">
        <x:v>Proposal TA</x:v>
      </x:c>
      <x:c r="C4" s="57" t="str">
        <x:v>Train/Val/Test 80/10/10 dan frame dari video/sesi yang sama tidak boleh bocor antar split.</x:v>
      </x:c>
      <x:c r="D4" s="57" t="str">
        <x:v>AQ-03</x:v>
      </x:c>
      <x:c r="E4" s="57" t="str">
        <x:v>Export dataset + tabel split</x:v>
      </x:c>
      <x:c r="F4" s="57" t="str">
        <x:v>Belum</x:v>
      </x:c>
      <x:c r="G4" s="57" t="str">
        <x:v>https://raw.githubusercontent.com/MorisSintong/XZ-Manipulator-Controls/main/VisionSystem/01_Dokumen_TA/TA_2026_extracted.txt</x:v>
      </x:c>
    </x:row>
    <x:row r="5">
      <x:c r="A5" s="57" t="str">
        <x:v>P-04</x:v>
      </x:c>
      <x:c r="B5" s="57" t="str">
        <x:v>Proposal TA</x:v>
      </x:c>
      <x:c r="C5" s="57" t="str">
        <x:v>Evaluasi model mencatat confusion matrix, precision, recall, F1, mAP, dan performa real-time.</x:v>
      </x:c>
      <x:c r="D5" s="57" t="str">
        <x:v>CV-01</x:v>
      </x:c>
      <x:c r="E5" s="57" t="str">
        <x:v>Report model</x:v>
      </x:c>
      <x:c r="F5" s="57" t="str">
        <x:v>Belum</x:v>
      </x:c>
      <x:c r="G5" s="57" t="str">
        <x:v>https://raw.githubusercontent.com/MorisSintong/XZ-Manipulator-Controls/main/VisionSystem/01_Dokumen_TA/TA_2026_extracted.txt</x:v>
      </x:c>
    </x:row>
    <x:row r="6">
      <x:c r="A6" s="57" t="str">
        <x:v>P-05</x:v>
      </x:c>
      <x:c r="B6" s="57" t="str">
        <x:v>Proposal TA</x:v>
      </x:c>
      <x:c r="C6" s="57" t="str">
        <x:v>Generalisasi diuji menggunakan kapasitor fisik baru dengan variasi ukuran, warna, sudut, posisi, pencahayaan.</x:v>
      </x:c>
      <x:c r="D6" s="57" t="str">
        <x:v>DS-01 / DS-02 / RC-28</x:v>
      </x:c>
      <x:c r="E6" s="57" t="str">
        <x:v>Video/frame uji</x:v>
      </x:c>
      <x:c r="F6" s="57" t="str">
        <x:v>Belum</x:v>
      </x:c>
      <x:c r="G6" s="57" t="str">
        <x:v>https://raw.githubusercontent.com/MorisSintong/XZ-Manipulator-Controls/main/VisionSystem/01_Dokumen_TA/TA_2026_extracted.txt</x:v>
      </x:c>
    </x:row>
    <x:row r="7">
      <x:c r="A7" s="57" t="str">
        <x:v>P-06</x:v>
      </x:c>
      <x:c r="B7" s="57" t="str">
        <x:v>Proposal TA</x:v>
      </x:c>
      <x:c r="C7" s="57" t="str">
        <x:v>Komunikasi data antarperangkat diuji berulang untuk konsistensi.</x:v>
      </x:c>
      <x:c r="D7" s="57" t="str">
        <x:v>COM-01 / COM-02</x:v>
      </x:c>
      <x:c r="E7" s="57" t="str">
        <x:v>Log Modbus/UART</x:v>
      </x:c>
      <x:c r="F7" s="57" t="str">
        <x:v>Belum</x:v>
      </x:c>
      <x:c r="G7" s="57" t="str">
        <x:v>https://raw.githubusercontent.com/MorisSintong/XZ-Manipulator-Controls/main/VisionSystem/01_Dokumen_TA/TA_2026_extracted.txt</x:v>
      </x:c>
    </x:row>
    <x:row r="8">
      <x:c r="A8" s="57" t="str">
        <x:v>P-07</x:v>
      </x:c>
      <x:c r="B8" s="57" t="str">
        <x:v>Proposal TA</x:v>
      </x:c>
      <x:c r="C8" s="57" t="str">
        <x:v>Alur sistem terintegrasi diuji 10 kali per skenario.</x:v>
      </x:c>
      <x:c r="D8" s="57" t="str">
        <x:v>INT-01 / INT-02 / INT-03</x:v>
      </x:c>
      <x:c r="E8" s="57" t="str">
        <x:v>Video + tabel siklus</x:v>
      </x:c>
      <x:c r="F8" s="57" t="str">
        <x:v>Belum</x:v>
      </x:c>
      <x:c r="G8" s="57" t="str">
        <x:v>https://raw.githubusercontent.com/MorisSintong/XZ-Manipulator-Controls/main/VisionSystem/01_Dokumen_TA/TA_2026_extracted.txt</x:v>
      </x:c>
    </x:row>
    <x:row r="9">
      <x:c r="A9" s="57" t="str">
        <x:v>P-08</x:v>
      </x:c>
      <x:c r="B9" s="57" t="str">
        <x:v>Proposal TA</x:v>
      </x:c>
      <x:c r="C9" s="57" t="str">
        <x:v>Waktu siklus dihitung dari objek terdeteksi hingga conveyor berjalan kembali; 10 kali per skenario.</x:v>
      </x:c>
      <x:c r="D9" s="57" t="str">
        <x:v>TIME-01</x:v>
      </x:c>
      <x:c r="E9" s="57" t="str">
        <x:v>Timestamp/log</x:v>
      </x:c>
      <x:c r="F9" s="57" t="str">
        <x:v>Belum</x:v>
      </x:c>
      <x:c r="G9" s="57" t="str">
        <x:v>https://raw.githubusercontent.com/MorisSintong/XZ-Manipulator-Controls/main/VisionSystem/01_Dokumen_TA/TA_2026_extracted.txt</x:v>
      </x:c>
    </x:row>
    <x:row r="10">
      <x:c r="A10" s="57" t="str">
        <x:v>P-09</x:v>
      </x:c>
      <x:c r="B10" s="57" t="str">
        <x:v>Proposal TA</x:v>
      </x:c>
      <x:c r="C10" s="57" t="str">
        <x:v>Kegagalan harus dianalisis, diperbaiki, dan test case yang sama diuji ulang.</x:v>
      </x:c>
      <x:c r="D10" s="57" t="str">
        <x:v>FAIL-01 / Failure_Log</x:v>
      </x:c>
      <x:c r="E10" s="57" t="str">
        <x:v>Failure log + retest</x:v>
      </x:c>
      <x:c r="F10" s="57" t="str">
        <x:v>Belum</x:v>
      </x:c>
      <x:c r="G10" s="57" t="str">
        <x:v>https://raw.githubusercontent.com/MorisSintong/XZ-Manipulator-Controls/main/VisionSystem/01_Dokumen_TA/TA_2026_extracted.txt</x:v>
      </x:c>
    </x:row>
    <x:row r="11">
      <x:c r="A11" s="57" t="str">
        <x:v>P-10</x:v>
      </x:c>
      <x:c r="B11" s="57" t="str">
        <x:v>Proposal TA</x:v>
      </x:c>
      <x:c r="C11" s="57" t="str">
        <x:v>Akurasi dan repeatability manipulator diuji minimal 30 iterasi dari arah berbeda.</x:v>
      </x:c>
      <x:c r="D11" s="57" t="str">
        <x:v>MEC-01</x:v>
      </x:c>
      <x:c r="E11" s="57" t="str">
        <x:v>Tabel pengukuran</x:v>
      </x:c>
      <x:c r="F11" s="57" t="str">
        <x:v>Belum</x:v>
      </x:c>
      <x:c r="G11" s="57" t="str">
        <x:v>https://raw.githubusercontent.com/MorisSintong/XZ-Manipulator-Controls/main/VisionSystem/01_Dokumen_TA/TA_2026_extracted.txt</x:v>
      </x:c>
    </x:row>
    <x:row r="12">
      <x:c r="A12" s="57" t="str">
        <x:v>P-11</x:v>
      </x:c>
      <x:c r="B12" s="57" t="str">
        <x:v>Proposal TA</x:v>
      </x:c>
      <x:c r="C12" s="57" t="str">
        <x:v>Kegagalan daya sumbu Z diuji untuk memastikan tidak terjadi free-fall.</x:v>
      </x:c>
      <x:c r="D12" s="57" t="str">
        <x:v>SAFE-01</x:v>
      </x:c>
      <x:c r="E12" s="57" t="str">
        <x:v>Video + pengukuran</x:v>
      </x:c>
      <x:c r="F12" s="57" t="str">
        <x:v>Belum</x:v>
      </x:c>
      <x:c r="G12" s="57" t="str">
        <x:v>https://raw.githubusercontent.com/MorisSintong/XZ-Manipulator-Controls/main/VisionSystem/01_Dokumen_TA/TA_2026_extracted.txt</x:v>
      </x:c>
    </x:row>
    <x:row r="13">
      <x:c r="A13" s="57" t="str">
        <x:v>P-12</x:v>
      </x:c>
      <x:c r="B13" s="57" t="str">
        <x:v>Proposal TA</x:v>
      </x:c>
      <x:c r="C13" s="57" t="str">
        <x:v>Sensorless homing TMC2240/StallGuard diuji.</x:v>
      </x:c>
      <x:c r="D13" s="57" t="str">
        <x:v>HOME-01</x:v>
      </x:c>
      <x:c r="E13" s="57" t="str">
        <x:v>Log homing</x:v>
      </x:c>
      <x:c r="F13" s="57" t="str">
        <x:v>Belum</x:v>
      </x:c>
      <x:c r="G13" s="57" t="str">
        <x:v>https://raw.githubusercontent.com/MorisSintong/XZ-Manipulator-Controls/main/VisionSystem/01_Dokumen_TA/TA_2026_extracted.txt</x:v>
      </x:c>
    </x:row>
    <x:row r="14">
      <x:c r="A14" s="57" t="str">
        <x:v>P-13</x:v>
      </x:c>
      <x:c r="B14" s="57" t="str">
        <x:v>Proposal TA</x:v>
      </x:c>
      <x:c r="C14" s="57" t="str">
        <x:v>Getaran transien/step loss diuji terhadap kenaikan akselerasi.</x:v>
      </x:c>
      <x:c r="D14" s="57" t="str">
        <x:v>VIB-01</x:v>
      </x:c>
      <x:c r="E14" s="57" t="str">
        <x:v>Log encoder</x:v>
      </x:c>
      <x:c r="F14" s="57" t="str">
        <x:v>Belum</x:v>
      </x:c>
      <x:c r="G14" s="57" t="str">
        <x:v>https://raw.githubusercontent.com/MorisSintong/XZ-Manipulator-Controls/main/VisionSystem/01_Dokumen_TA/TA_2026_extracted.txt</x:v>
      </x:c>
    </x:row>
    <x:row r="15">
      <x:c r="A15" s="57" t="str">
        <x:v>P-14</x:v>
      </x:c>
      <x:c r="B15" s="57" t="str">
        <x:v>Proposal TA</x:v>
      </x:c>
      <x:c r="C15" s="57" t="str">
        <x:v>Sistem terintegrasi mencakup manipulator dan vacuum suction; kegagalan vacuum harus dapat dianalisis.</x:v>
      </x:c>
      <x:c r="D15" s="57" t="str">
        <x:v>VAC-01 / INT-02 / RC-27</x:v>
      </x:c>
      <x:c r="E15" s="57" t="str">
        <x:v>Video + reliability log</x:v>
      </x:c>
      <x:c r="F15" s="57" t="str">
        <x:v>Belum</x:v>
      </x:c>
      <x:c r="G15" s="57" t="str">
        <x:v>https://raw.githubusercontent.com/MorisSintong/XZ-Manipulator-Controls/main/VisionSystem/01_Dokumen_TA/TA_2026_extracted.txt</x:v>
      </x:c>
    </x:row>
    <x:row r="16">
      <x:c r="A16" s="57" t="str">
        <x:v>R-01</x:v>
      </x:c>
      <x:c r="B16" s="57" t="str">
        <x:v>Repo Remediation</x:v>
      </x:c>
      <x:c r="C16" s="57" t="str">
        <x:v>Angle harus kontinu 0–360° dan diverifikasi pada sudut non-ortogonal.</x:v>
      </x:c>
      <x:c r="D16" s="57" t="str">
        <x:v>RC-21 / GATE-01</x:v>
      </x:c>
      <x:c r="E16" s="57" t="str">
        <x:v>Angle test report</x:v>
      </x:c>
      <x:c r="F16" s="57" t="str">
        <x:v>Belum</x:v>
      </x:c>
      <x:c r="G16" s="57" t="str">
        <x:v>https://github.com/MorisSintong/XZ-Manipulator-Controls/blob/main/VisionSystem/REMEDIATION_PLAN_AI.md</x:v>
      </x:c>
    </x:row>
    <x:row r="17">
      <x:c r="A17" s="57" t="str">
        <x:v>R-02</x:v>
      </x:c>
      <x:c r="B17" s="57" t="str">
        <x:v>Repo Remediation</x:v>
      </x:c>
      <x:c r="C17" s="57" t="str">
        <x:v>Telemetry harus memuat X/Y fisik, object ID/sequence, angle, dan CRC16.</x:v>
      </x:c>
      <x:c r="D17" s="57" t="str">
        <x:v>RC-22 / RC-26 / GATE-01</x:v>
      </x:c>
      <x:c r="E17" s="57" t="str">
        <x:v>Packet log + calibration</x:v>
      </x:c>
      <x:c r="F17" s="57" t="str">
        <x:v>Belum</x:v>
      </x:c>
      <x:c r="G17" s="57" t="str">
        <x:v>https://github.com/MorisSintong/XZ-Manipulator-Controls/blob/main/VisionSystem/REMEDIATION_PLAN_AI.md</x:v>
      </x:c>
    </x:row>
    <x:row r="18">
      <x:c r="A18" s="57" t="str">
        <x:v>R-03</x:v>
      </x:c>
      <x:c r="B18" s="57" t="str">
        <x:v>Repo Remediation</x:v>
      </x:c>
      <x:c r="C18" s="57" t="str">
        <x:v>Tracking/debounce harus memastikan satu objek hanya menghasilkan satu pick event.</x:v>
      </x:c>
      <x:c r="D18" s="57" t="str">
        <x:v>RC-23 / GATE-01</x:v>
      </x:c>
      <x:c r="E18" s="57" t="str">
        <x:v>Tracker/UART log</x:v>
      </x:c>
      <x:c r="F18" s="57" t="str">
        <x:v>Belum</x:v>
      </x:c>
      <x:c r="G18" s="57" t="str">
        <x:v>https://github.com/MorisSintong/XZ-Manipulator-Controls/blob/main/VisionSystem/REMEDIATION_PLAN_AI.md</x:v>
      </x:c>
    </x:row>
    <x:row r="19">
      <x:c r="A19" s="57" t="str">
        <x:v>R-04</x:v>
      </x:c>
      <x:c r="B19" s="57" t="str">
        <x:v>Repo Remediation</x:v>
      </x:c>
      <x:c r="C19" s="57" t="str">
        <x:v>Runtime firmware tidak boleh melakukan destructive NVS writes atau blocking delays.</x:v>
      </x:c>
      <x:c r="D19" s="57" t="str">
        <x:v>RC-24 / GATE-01</x:v>
      </x:c>
      <x:c r="E19" s="57" t="str">
        <x:v>Firmware verification</x:v>
      </x:c>
      <x:c r="F19" s="57" t="str">
        <x:v>Belum</x:v>
      </x:c>
      <x:c r="G19" s="57" t="str">
        <x:v>https://github.com/MorisSintong/XZ-Manipulator-Controls/blob/main/VisionSystem/REMEDIATION_PLAN_AI.md</x:v>
      </x:c>
    </x:row>
    <x:row r="20">
      <x:c r="A20" s="57" t="str">
        <x:v>R-05</x:v>
      </x:c>
      <x:c r="B20" s="57" t="str">
        <x:v>Repo Remediation</x:v>
      </x:c>
      <x:c r="C20" s="57" t="str">
        <x:v>Automated verification suite harus PASS sebelum full real-case.</x:v>
      </x:c>
      <x:c r="D20" s="57" t="str">
        <x:v>RC-25 / GATE-01</x:v>
      </x:c>
      <x:c r="E20" s="57" t="str">
        <x:v>Test suite output</x:v>
      </x:c>
      <x:c r="F20" s="57" t="str">
        <x:v>Belum</x:v>
      </x:c>
      <x:c r="G20" s="57" t="str">
        <x:v>https://github.com/MorisSintong/XZ-Manipulator-Controls/blob/main/VisionSystem/REMEDIATION_PLAN_AI.md</x:v>
      </x:c>
    </x:row>
    <x:row r="21">
      <x:c r="A21" s="57" t="str">
        <x:v>E-01</x:v>
      </x:c>
      <x:c r="B21" s="57" t="str">
        <x:v>Engineering supplement</x:v>
      </x:c>
      <x:c r="C21" s="57" t="str">
        <x:v>Akurasi mapping kamera/pixel ke koordinat fisik perlu divalidasi sebelum menilai error pickup manipulator.</x:v>
      </x:c>
      <x:c r="D21" s="57" t="str">
        <x:v>CAL-01 / RC-26</x:v>
      </x:c>
      <x:c r="E21" s="57" t="str">
        <x:v>Tabel X/Y error</x:v>
      </x:c>
      <x:c r="F21" s="57" t="str">
        <x:v>Belum</x:v>
      </x:c>
      <x:c r="G21" s="57" t="str">
        <x:v>https://raw.githubusercontent.com/MorisSintong/XZ-Manipulator-Controls/main/VisionSystem/01_Dokumen_TA/TA_2026_extracted.txt</x:v>
      </x:c>
    </x:row>
  </x:sheetData>
  <x:dataValidations count="1">
    <x:dataValidation type="list" sqref="F2:F21">
      <x:formula1>"Belum,PASS,FAIL,PARTIAL"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8" hidden="0" customWidth="1"/>
    <x:col min="5" max="5" width="16" hidden="0" customWidth="1"/>
  </x:cols>
  <x:sheetData>
    <x:row r="1">
      <x:c r="A1" s="152" t="str">
        <x:v>DASHBOARD PERENCANAAN &amp; HASIL TEST REAL-CASE</x:v>
      </x:c>
      <x:c r="B1" s="152"/>
      <x:c r="C1" s="152"/>
      <x:c r="D1" s="152"/>
      <x:c r="E1" s="152"/>
      <x:c r="F1" s="152"/>
      <x:c r="G1" s="152"/>
      <x:c r="H1" s="152"/>
    </x:row>
    <x:row r="3">
      <x:c r="A3" s="165" t="str">
        <x:v>Rencana_Uji</x:v>
      </x:c>
      <x:c r="B3" s="166" t="str">
        <x:v>Jumlah</x:v>
      </x:c>
      <x:c r="C3" s="167"/>
      <x:c r="D3" s="166" t="str">
        <x:v>Uji_Proposal_TA</x:v>
      </x:c>
      <x:c r="E3" s="168" t="str">
        <x:v>Jumlah</x:v>
      </x:c>
      <x:c r="G3" t="str">
        <x:v>Status</x:v>
      </x:c>
      <x:c r="H3" t="str">
        <x:v>Jumlah</x:v>
      </x:c>
    </x:row>
    <x:row r="4">
      <x:c r="A4" s="169" t="str">
        <x:v>Total skenario</x:v>
      </x:c>
      <x:c r="B4" s="170" t="n">
        <x:f>COUNTA(Rencana_Uji!A2:A29)</x:f>
        <x:v>28</x:v>
      </x:c>
      <x:c r="C4" s="170"/>
      <x:c r="D4" s="170" t="str">
        <x:v>Total skenario</x:v>
      </x:c>
      <x:c r="E4" s="171" t="n">
        <x:f>COUNTA(Uji_Proposal_TA!A11:A30)</x:f>
        <x:v>20</x:v>
      </x:c>
      <x:c r="G4" t="str">
        <x:v>PASS</x:v>
      </x:c>
      <x:c r="H4" t="n">
        <x:f>B5</x:f>
        <x:v>0</x:v>
      </x:c>
    </x:row>
    <x:row r="5">
      <x:c r="A5" s="169" t="str">
        <x:v>PASS</x:v>
      </x:c>
      <x:c r="B5" s="170" t="n">
        <x:f>COUNTIF(Rencana_Uji!I2:I29,"PASS")</x:f>
        <x:v>0</x:v>
      </x:c>
      <x:c r="C5" s="170"/>
      <x:c r="D5" s="170" t="str">
        <x:v>PASS</x:v>
      </x:c>
      <x:c r="E5" s="171" t="n">
        <x:f>COUNTIF(Uji_Proposal_TA!I11:I30,"PASS")</x:f>
        <x:v>0</x:v>
      </x:c>
      <x:c r="G5" t="str">
        <x:v>FAIL</x:v>
      </x:c>
      <x:c r="H5" t="n">
        <x:f>B6</x:f>
        <x:v>0</x:v>
      </x:c>
    </x:row>
    <x:row r="6">
      <x:c r="A6" s="169" t="str">
        <x:v>FAIL</x:v>
      </x:c>
      <x:c r="B6" s="170" t="n">
        <x:f>COUNTIF(Rencana_Uji!I2:I29,"FAIL")</x:f>
        <x:v>0</x:v>
      </x:c>
      <x:c r="C6" s="170"/>
      <x:c r="D6" s="170" t="str">
        <x:v>FAIL</x:v>
      </x:c>
      <x:c r="E6" s="171" t="n">
        <x:f>COUNTIF(Uji_Proposal_TA!I11:I30,"FAIL")</x:f>
        <x:v>0</x:v>
      </x:c>
      <x:c r="G6" t="str">
        <x:v>PARTIAL</x:v>
      </x:c>
      <x:c r="H6" t="n">
        <x:f>B7</x:f>
        <x:v>0</x:v>
      </x:c>
    </x:row>
    <x:row r="7">
      <x:c r="A7" s="169" t="str">
        <x:v>PARTIAL</x:v>
      </x:c>
      <x:c r="B7" s="170" t="n">
        <x:f>COUNTIF(Rencana_Uji!I2:I29,"PARTIAL")</x:f>
        <x:v>0</x:v>
      </x:c>
      <x:c r="C7" s="170"/>
      <x:c r="D7" s="170" t="str">
        <x:v>PARTIAL</x:v>
      </x:c>
      <x:c r="E7" s="171" t="n">
        <x:f>COUNTIF(Uji_Proposal_TA!I11:I30,"PARTIAL")</x:f>
        <x:v>0</x:v>
      </x:c>
      <x:c r="G7" t="str">
        <x:v>Belum</x:v>
      </x:c>
      <x:c r="H7" t="n">
        <x:f>B8</x:f>
        <x:v>28</x:v>
      </x:c>
    </x:row>
    <x:row r="8">
      <x:c r="A8" s="169" t="str">
        <x:v>Belum</x:v>
      </x:c>
      <x:c r="B8" s="170" t="n">
        <x:f>COUNTIF(Rencana_Uji!I2:I29,"Belum")</x:f>
        <x:v>28</x:v>
      </x:c>
      <x:c r="C8" s="170"/>
      <x:c r="D8" s="170" t="str">
        <x:v>Belum</x:v>
      </x:c>
      <x:c r="E8" s="171" t="n">
        <x:f>COUNTIF(Uji_Proposal_TA!I11:I30,"Belum")</x:f>
        <x:v>20</x:v>
      </x:c>
    </x:row>
    <x:row r="9">
      <x:c r="A9" s="169"/>
      <x:c r="B9" s="170"/>
      <x:c r="C9" s="170"/>
      <x:c r="D9" s="170"/>
      <x:c r="E9" s="171"/>
    </x:row>
    <x:row r="10">
      <x:c r="A10" s="169"/>
      <x:c r="B10" s="170"/>
      <x:c r="C10" s="170"/>
      <x:c r="D10" s="170"/>
      <x:c r="E10" s="171"/>
    </x:row>
    <x:row r="11">
      <x:c r="A11" s="172" t="str">
        <x:v>Log Eksekusi</x:v>
      </x:c>
      <x:c r="B11" s="161" t="str">
        <x:v>Nilai</x:v>
      </x:c>
      <x:c r="C11" s="170"/>
      <x:c r="D11" s="161" t="str">
        <x:v>Failure Log</x:v>
      </x:c>
      <x:c r="E11" s="173" t="str">
        <x:v>Nilai</x:v>
      </x:c>
    </x:row>
    <x:row r="12">
      <x:c r="A12" s="169" t="str">
        <x:v>Run dengan hasil</x:v>
      </x:c>
      <x:c r="B12" s="170" t="n">
        <x:f>COUNTIF(Log_Hasil!AB2:AB201,"PASS")+COUNTIF(Log_Hasil!AB2:AB201,"FAIL")+COUNTIF(Log_Hasil!AB2:AB201,"PARTIAL")</x:f>
        <x:v>0</x:v>
      </x:c>
      <x:c r="C12" s="170"/>
      <x:c r="D12" s="170" t="str">
        <x:v>Open</x:v>
      </x:c>
      <x:c r="E12" s="171" t="n">
        <x:f>COUNTIF(Failure_Log!L2:L201,"Open")</x:f>
        <x:v>0</x:v>
      </x:c>
    </x:row>
    <x:row r="13">
      <x:c r="A13" s="169" t="str">
        <x:v>PASS run</x:v>
      </x:c>
      <x:c r="B13" s="170" t="n">
        <x:f>COUNTIF(Log_Hasil!AB2:AB201,"PASS")</x:f>
        <x:v>0</x:v>
      </x:c>
      <x:c r="C13" s="170"/>
      <x:c r="D13" s="170" t="str">
        <x:v>Monitoring</x:v>
      </x:c>
      <x:c r="E13" s="171" t="n">
        <x:f>COUNTIF(Failure_Log!L2:L201,"Monitoring")</x:f>
        <x:v>0</x:v>
      </x:c>
    </x:row>
    <x:row r="14">
      <x:c r="A14" s="169" t="str">
        <x:v>FAIL run</x:v>
      </x:c>
      <x:c r="B14" s="170" t="n">
        <x:f>COUNTIF(Log_Hasil!AB2:AB201,"FAIL")</x:f>
        <x:v>0</x:v>
      </x:c>
      <x:c r="C14" s="170"/>
      <x:c r="D14" s="170" t="str">
        <x:v>Closed</x:v>
      </x:c>
      <x:c r="E14" s="171" t="n">
        <x:f>COUNTIF(Failure_Log!L2:L201,"Closed")</x:f>
        <x:v>0</x:v>
      </x:c>
    </x:row>
    <x:row r="15">
      <x:c r="A15" s="169" t="str">
        <x:v>Pass rate</x:v>
      </x:c>
      <x:c r="B15" s="157" t="n">
        <x:f>IF((B13+B14)=0,0,B13/(B13+B14))</x:f>
        <x:v>0</x:v>
      </x:c>
      <x:c r="C15" s="170"/>
      <x:c r="D15" s="170" t="str">
        <x:v>Total failure</x:v>
      </x:c>
      <x:c r="E15" s="171" t="n">
        <x:f>COUNTIF(Failure_Log!A2:A201,"F-*")</x:f>
        <x:v>0</x:v>
      </x:c>
    </x:row>
    <x:row r="16">
      <x:c r="A16" s="174" t="str">
        <x:v>Rata-rata cycle time (s)</x:v>
      </x:c>
      <x:c r="B16" s="175" t="n">
        <x:f>IFERROR(AVERAGE(Log_Hasil!Z2:Z201),0)</x:f>
        <x:v>0</x:v>
      </x:c>
      <x:c r="C16" s="175"/>
      <x:c r="D16" s="175"/>
      <x:c r="E16" s="17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63536a928214155"/>
</x:worksheet>
</file>